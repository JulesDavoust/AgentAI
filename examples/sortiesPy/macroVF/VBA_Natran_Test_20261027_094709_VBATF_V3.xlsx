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davoust\natran\AgentAI\examples\sortiesPy\macroVF\"/>
    </mc:Choice>
  </mc:AlternateContent>
  <xr:revisionPtr revIDLastSave="0" documentId="13_ncr:1_{C14209A3-1FA4-4CE0-8641-55D2F7A5078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heet1" sheetId="1" r:id="rId1"/>
    <sheet name="Log" sheetId="2" r:id="rId2"/>
    <sheet name="Donnees_V3" sheetId="3" r:id="rId3"/>
    <sheet name="Carte_V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4" l="1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B3" i="4"/>
  <c r="H2" i="4"/>
  <c r="E2" i="4"/>
  <c r="B2" i="4"/>
</calcChain>
</file>

<file path=xl/sharedStrings.xml><?xml version="1.0" encoding="utf-8"?>
<sst xmlns="http://schemas.openxmlformats.org/spreadsheetml/2006/main" count="40" uniqueCount="35">
  <si>
    <t>Horodatage</t>
  </si>
  <si>
    <t>Niveau</t>
  </si>
  <si>
    <t>Message</t>
  </si>
  <si>
    <t>INFO</t>
  </si>
  <si>
    <t>CSV genere : C:\Users\jdavoust\natran\AgentAI\examples\sortiesPy\macroVF\V3_CSV_FOLDER\DAT_20261027.csv</t>
  </si>
  <si>
    <t>CSV importe : 10 valide(s), 0 ignoree(s) - C:\Users\jdavoust\natran\AgentAI\examples\sortiesPy\macroVF\V3_CSV_FOLDER\DAT_20261027.csv</t>
  </si>
  <si>
    <t>Ville selectionnee : Caen</t>
  </si>
  <si>
    <t>Carte generee : C:\Users\jdavoust\natran\AgentAI\examples\sortiesPy\macroVF\VBA_Natran_Test_Carte_20261027_094709_VBATF_V3.html</t>
  </si>
  <si>
    <t>Synthese regeneree</t>
  </si>
  <si>
    <t>Date</t>
  </si>
  <si>
    <t>Ville</t>
  </si>
  <si>
    <t>Latitude</t>
  </si>
  <si>
    <t>Longitude</t>
  </si>
  <si>
    <t>Volume_GWh</t>
  </si>
  <si>
    <t>Temperature_C</t>
  </si>
  <si>
    <t>Lille</t>
  </si>
  <si>
    <t>Paris</t>
  </si>
  <si>
    <t>Strasbourg</t>
  </si>
  <si>
    <t>Nantes</t>
  </si>
  <si>
    <t>Bordeaux</t>
  </si>
  <si>
    <t>Toulouse</t>
  </si>
  <si>
    <t>Marseille</t>
  </si>
  <si>
    <t>Lyon</t>
  </si>
  <si>
    <t>Caen</t>
  </si>
  <si>
    <t>Dijon</t>
  </si>
  <si>
    <t>Suivi distribution gaz (V3 CSV) - mis a jour le 27/10/2026 09:47</t>
  </si>
  <si>
    <t>Volume total (GWh)</t>
  </si>
  <si>
    <t>Moyenne / ville (GWh)</t>
  </si>
  <si>
    <t>Ville du pic</t>
  </si>
  <si>
    <t>Date des donnees</t>
  </si>
  <si>
    <t>Volume (GWh)</t>
  </si>
  <si>
    <t>Temperature (C)</t>
  </si>
  <si>
    <t>Ouvrir la carte interactive</t>
  </si>
  <si>
    <t>Source CSV : C:\Users\jdavoust\natran\AgentAI\examples\sortiesPy\macroVF\V3_CSV_FOLDER\DAT_20261027.csv</t>
  </si>
  <si>
    <t>Carte : C:\Users\jdavoust\natran\AgentAI\examples\sortiesPy\macroVF\VBA_Natran_Test_Carte_20261027_094709_VBATF_V3.html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</si>
</sst>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6" formatCode="#,##0.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2"/>
      <color theme="10"/>
      <name val="Calibri"/>
      <family val="2"/>
      <scheme val="minor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0" applyNumberFormat="1"/>
    <xf numFmtId="0" fontId="2" fillId="2" borderId="0" xfId="0" applyFont="1" applyFill="1"/>
    <xf numFmtId="0" fontId="3" fillId="0" borderId="0" xfId="1"/>
    <xf numFmtId="0" fontId="4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SV_V3" displayName="tblCSV_V3" ref="A1:F11">
  <autoFilter ref="A1:F11" xr:uid="{00000000-0009-0000-0100-000001000000}"/>
  <tableColumns count="6">
    <tableColumn id="1" xr3:uid="{00000000-0010-0000-0000-000001000000}" name="Date"/>
    <tableColumn id="2" xr3:uid="{00000000-0010-0000-0000-000002000000}" name="Ville"/>
    <tableColumn id="3" xr3:uid="{00000000-0010-0000-0000-000003000000}" name="Latitude"/>
    <tableColumn id="4" xr3:uid="{00000000-0010-0000-0000-000004000000}" name="Longitude"/>
    <tableColumn id="5" xr3:uid="{00000000-0010-0000-0000-000005000000}" name="Volume_GWh"/>
    <tableColumn id="6" xr3:uid="{00000000-0010-0000-0000-000006000000}" name="Temperature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VBA_Natran_Test_Carte_20261027_094709_VBATF_V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46322.404007824072</v>
      </c>
      <c r="B2" t="s">
        <v>3</v>
      </c>
      <c r="C2" t="s">
        <v>4</v>
      </c>
    </row>
    <row r="3" spans="1:3" x14ac:dyDescent="0.35">
      <c r="A3" s="1">
        <v>46322.407752905252</v>
      </c>
      <c r="B3" t="s">
        <v>3</v>
      </c>
      <c r="C3" t="s">
        <v>5</v>
      </c>
    </row>
    <row r="4" spans="1:3" x14ac:dyDescent="0.35">
      <c r="A4" s="1">
        <v>46322.407753025313</v>
      </c>
      <c r="B4" t="s">
        <v>3</v>
      </c>
      <c r="C4" t="s">
        <v>6</v>
      </c>
    </row>
    <row r="5" spans="1:3" x14ac:dyDescent="0.35">
      <c r="A5" s="1">
        <v>46322.407753028863</v>
      </c>
      <c r="B5" t="s">
        <v>3</v>
      </c>
      <c r="C5" t="s">
        <v>7</v>
      </c>
    </row>
    <row r="6" spans="1:3" x14ac:dyDescent="0.35">
      <c r="A6" s="1">
        <v>46322.407753119202</v>
      </c>
      <c r="B6" t="s">
        <v>3</v>
      </c>
      <c r="C6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ColWidth="8.7265625" defaultRowHeight="14.5" x14ac:dyDescent="0.35"/>
  <cols>
    <col min="1" max="1" width="10.453125" style="2" bestFit="1" customWidth="1"/>
    <col min="2" max="2" width="9.90625" bestFit="1" customWidth="1"/>
    <col min="3" max="3" width="10.1796875" bestFit="1" customWidth="1"/>
    <col min="4" max="4" width="11.7265625" bestFit="1" customWidth="1"/>
    <col min="5" max="5" width="15.26953125" bestFit="1" customWidth="1"/>
    <col min="6" max="6" width="16.36328125" bestFit="1" customWidth="1"/>
  </cols>
  <sheetData>
    <row r="1" spans="1:6" x14ac:dyDescent="0.35">
      <c r="A1" s="2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5">
      <c r="A2" s="2">
        <v>46322</v>
      </c>
      <c r="B2" t="s">
        <v>15</v>
      </c>
      <c r="C2">
        <v>50.63</v>
      </c>
      <c r="D2">
        <v>3.06</v>
      </c>
      <c r="E2">
        <v>96.2</v>
      </c>
      <c r="F2">
        <v>14.4</v>
      </c>
    </row>
    <row r="3" spans="1:6" x14ac:dyDescent="0.35">
      <c r="A3" s="2">
        <v>46322</v>
      </c>
      <c r="B3" t="s">
        <v>16</v>
      </c>
      <c r="C3">
        <v>48.86</v>
      </c>
      <c r="D3">
        <v>2.35</v>
      </c>
      <c r="E3">
        <v>171.3</v>
      </c>
      <c r="F3">
        <v>14.8</v>
      </c>
    </row>
    <row r="4" spans="1:6" x14ac:dyDescent="0.35">
      <c r="A4" s="2">
        <v>46322</v>
      </c>
      <c r="B4" t="s">
        <v>17</v>
      </c>
      <c r="C4">
        <v>48.57</v>
      </c>
      <c r="D4">
        <v>7.75</v>
      </c>
      <c r="E4">
        <v>84.1</v>
      </c>
      <c r="F4">
        <v>15.4</v>
      </c>
    </row>
    <row r="5" spans="1:6" x14ac:dyDescent="0.35">
      <c r="A5" s="2">
        <v>46322</v>
      </c>
      <c r="B5" t="s">
        <v>18</v>
      </c>
      <c r="C5">
        <v>47.22</v>
      </c>
      <c r="D5">
        <v>-1.55</v>
      </c>
      <c r="E5">
        <v>78.2</v>
      </c>
      <c r="F5">
        <v>2.4</v>
      </c>
    </row>
    <row r="6" spans="1:6" x14ac:dyDescent="0.35">
      <c r="A6" s="2">
        <v>46322</v>
      </c>
      <c r="B6" t="s">
        <v>19</v>
      </c>
      <c r="C6">
        <v>44.84</v>
      </c>
      <c r="D6">
        <v>-0.57999999999999996</v>
      </c>
      <c r="E6">
        <v>92.7</v>
      </c>
      <c r="F6">
        <v>15.9</v>
      </c>
    </row>
    <row r="7" spans="1:6" x14ac:dyDescent="0.35">
      <c r="A7" s="2">
        <v>46322</v>
      </c>
      <c r="B7" t="s">
        <v>20</v>
      </c>
      <c r="C7">
        <v>43.6</v>
      </c>
      <c r="D7">
        <v>1.44</v>
      </c>
      <c r="E7">
        <v>78.099999999999994</v>
      </c>
      <c r="F7">
        <v>3.7</v>
      </c>
    </row>
    <row r="8" spans="1:6" x14ac:dyDescent="0.35">
      <c r="A8" s="2">
        <v>46322</v>
      </c>
      <c r="B8" t="s">
        <v>21</v>
      </c>
      <c r="C8">
        <v>43.3</v>
      </c>
      <c r="D8">
        <v>5.37</v>
      </c>
      <c r="E8">
        <v>111.2</v>
      </c>
      <c r="F8">
        <v>2.6</v>
      </c>
    </row>
    <row r="9" spans="1:6" x14ac:dyDescent="0.35">
      <c r="A9" s="2">
        <v>46322</v>
      </c>
      <c r="B9" t="s">
        <v>22</v>
      </c>
      <c r="C9">
        <v>45.76</v>
      </c>
      <c r="D9">
        <v>4.84</v>
      </c>
      <c r="E9">
        <v>118.8</v>
      </c>
      <c r="F9">
        <v>15</v>
      </c>
    </row>
    <row r="10" spans="1:6" x14ac:dyDescent="0.35">
      <c r="A10" s="2">
        <v>46322</v>
      </c>
      <c r="B10" t="s">
        <v>23</v>
      </c>
      <c r="C10">
        <v>49.18</v>
      </c>
      <c r="D10">
        <v>-0.37</v>
      </c>
      <c r="E10">
        <v>63.2</v>
      </c>
      <c r="F10">
        <v>15</v>
      </c>
    </row>
    <row r="11" spans="1:6" x14ac:dyDescent="0.35">
      <c r="A11" s="2">
        <v>46322</v>
      </c>
      <c r="B11" t="s">
        <v>24</v>
      </c>
      <c r="C11">
        <v>47.32</v>
      </c>
      <c r="D11">
        <v>5.04</v>
      </c>
      <c r="E11">
        <v>43.2</v>
      </c>
      <c r="F11">
        <v>14.8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abSelected="1" workbookViewId="0"/>
  </sheetViews>
  <sheetFormatPr baseColWidth="10" defaultColWidth="8.7265625" defaultRowHeight="14.5" x14ac:dyDescent="0.35"/>
  <cols>
    <col min="1" max="1" width="24.6328125" customWidth="1"/>
    <col min="2" max="2" width="13.7265625" bestFit="1" customWidth="1"/>
    <col min="3" max="3" width="14.81640625" bestFit="1" customWidth="1"/>
    <col min="4" max="4" width="20.81640625" bestFit="1" customWidth="1"/>
    <col min="5" max="5" width="4.36328125" bestFit="1" customWidth="1"/>
    <col min="7" max="7" width="10.36328125" bestFit="1" customWidth="1"/>
    <col min="8" max="8" width="5" bestFit="1" customWidth="1"/>
  </cols>
  <sheetData>
    <row r="1" spans="1:8" ht="18.5" x14ac:dyDescent="0.45">
      <c r="A1" s="3" t="s">
        <v>25</v>
      </c>
    </row>
    <row r="2" spans="1:8" x14ac:dyDescent="0.35">
      <c r="A2" s="4" t="s">
        <v>26</v>
      </c>
      <c r="B2" s="5">
        <f>SUM(tblCSV_V3[Volume_GWh])</f>
        <v>937.00000000000011</v>
      </c>
      <c r="D2" s="4" t="s">
        <v>27</v>
      </c>
      <c r="E2" s="5">
        <f>AVERAGE(tblCSV_V3[Volume_GWh])</f>
        <v>93.700000000000017</v>
      </c>
      <c r="G2" s="4" t="s">
        <v>28</v>
      </c>
      <c r="H2" t="str">
        <f>INDEX(tblCSV_V3[Ville],MATCH(MAX(tblCSV_V3[Volume_GWh]),tblCSV_V3[Volume_GWh],0))</f>
        <v>Paris</v>
      </c>
    </row>
    <row r="3" spans="1:8" x14ac:dyDescent="0.35">
      <c r="A3" t="s">
        <v>29</v>
      </c>
      <c r="B3" s="2">
        <f>MAX(tblCSV_V3[Date])</f>
        <v>46322</v>
      </c>
    </row>
    <row r="4" spans="1:8" x14ac:dyDescent="0.35">
      <c r="A4" s="6" t="s">
        <v>10</v>
      </c>
      <c r="B4" s="6" t="s">
        <v>30</v>
      </c>
      <c r="C4" s="6" t="s">
        <v>31</v>
      </c>
    </row>
    <row r="5" spans="1:8" x14ac:dyDescent="0.35">
      <c r="A5" t="str">
        <f>INDEX(tblCSV_V3[Ville],1)</f>
        <v>Lille</v>
      </c>
      <c r="B5" s="5">
        <f>INDEX(tblCSV_V3[Volume_GWh],1)</f>
        <v>96.2</v>
      </c>
      <c r="C5" s="5">
        <f>INDEX(tblCSV_V3[Temperature_C],1)</f>
        <v>14.4</v>
      </c>
    </row>
    <row r="6" spans="1:8" x14ac:dyDescent="0.35">
      <c r="A6" t="str">
        <f>INDEX(tblCSV_V3[Ville],2)</f>
        <v>Paris</v>
      </c>
      <c r="B6" s="5">
        <f>INDEX(tblCSV_V3[Volume_GWh],2)</f>
        <v>171.3</v>
      </c>
      <c r="C6" s="5">
        <f>INDEX(tblCSV_V3[Temperature_C],2)</f>
        <v>14.8</v>
      </c>
    </row>
    <row r="7" spans="1:8" x14ac:dyDescent="0.35">
      <c r="A7" t="str">
        <f>INDEX(tblCSV_V3[Ville],3)</f>
        <v>Strasbourg</v>
      </c>
      <c r="B7" s="5">
        <f>INDEX(tblCSV_V3[Volume_GWh],3)</f>
        <v>84.1</v>
      </c>
      <c r="C7" s="5">
        <f>INDEX(tblCSV_V3[Temperature_C],3)</f>
        <v>15.4</v>
      </c>
    </row>
    <row r="8" spans="1:8" x14ac:dyDescent="0.35">
      <c r="A8" t="str">
        <f>INDEX(tblCSV_V3[Ville],4)</f>
        <v>Nantes</v>
      </c>
      <c r="B8" s="5">
        <f>INDEX(tblCSV_V3[Volume_GWh],4)</f>
        <v>78.2</v>
      </c>
      <c r="C8" s="5">
        <f>INDEX(tblCSV_V3[Temperature_C],4)</f>
        <v>2.4</v>
      </c>
    </row>
    <row r="9" spans="1:8" x14ac:dyDescent="0.35">
      <c r="A9" t="str">
        <f>INDEX(tblCSV_V3[Ville],5)</f>
        <v>Bordeaux</v>
      </c>
      <c r="B9" s="5">
        <f>INDEX(tblCSV_V3[Volume_GWh],5)</f>
        <v>92.7</v>
      </c>
      <c r="C9" s="5">
        <f>INDEX(tblCSV_V3[Temperature_C],5)</f>
        <v>15.9</v>
      </c>
    </row>
    <row r="10" spans="1:8" x14ac:dyDescent="0.35">
      <c r="A10" t="str">
        <f>INDEX(tblCSV_V3[Ville],6)</f>
        <v>Toulouse</v>
      </c>
      <c r="B10" s="5">
        <f>INDEX(tblCSV_V3[Volume_GWh],6)</f>
        <v>78.099999999999994</v>
      </c>
      <c r="C10" s="5">
        <f>INDEX(tblCSV_V3[Temperature_C],6)</f>
        <v>3.7</v>
      </c>
    </row>
    <row r="11" spans="1:8" x14ac:dyDescent="0.35">
      <c r="A11" t="str">
        <f>INDEX(tblCSV_V3[Ville],7)</f>
        <v>Marseille</v>
      </c>
      <c r="B11" s="5">
        <f>INDEX(tblCSV_V3[Volume_GWh],7)</f>
        <v>111.2</v>
      </c>
      <c r="C11" s="5">
        <f>INDEX(tblCSV_V3[Temperature_C],7)</f>
        <v>2.6</v>
      </c>
    </row>
    <row r="12" spans="1:8" x14ac:dyDescent="0.35">
      <c r="A12" t="str">
        <f>INDEX(tblCSV_V3[Ville],8)</f>
        <v>Lyon</v>
      </c>
      <c r="B12" s="5">
        <f>INDEX(tblCSV_V3[Volume_GWh],8)</f>
        <v>118.8</v>
      </c>
      <c r="C12" s="5">
        <f>INDEX(tblCSV_V3[Temperature_C],8)</f>
        <v>15</v>
      </c>
    </row>
    <row r="13" spans="1:8" x14ac:dyDescent="0.35">
      <c r="A13" t="str">
        <f>INDEX(tblCSV_V3[Ville],9)</f>
        <v>Caen</v>
      </c>
      <c r="B13" s="5">
        <f>INDEX(tblCSV_V3[Volume_GWh],9)</f>
        <v>63.2</v>
      </c>
      <c r="C13" s="5">
        <f>INDEX(tblCSV_V3[Temperature_C],9)</f>
        <v>15</v>
      </c>
    </row>
    <row r="14" spans="1:8" x14ac:dyDescent="0.35">
      <c r="A14" t="str">
        <f>INDEX(tblCSV_V3[Ville],10)</f>
        <v>Dijon</v>
      </c>
      <c r="B14" s="5">
        <f>INDEX(tblCSV_V3[Volume_GWh],10)</f>
        <v>43.2</v>
      </c>
      <c r="C14" s="5">
        <f>INDEX(tblCSV_V3[Temperature_C],10)</f>
        <v>14.8</v>
      </c>
    </row>
    <row r="16" spans="1:8" ht="15.5" x14ac:dyDescent="0.35">
      <c r="A16" s="7" t="s">
        <v>32</v>
      </c>
    </row>
    <row r="17" spans="1:1" x14ac:dyDescent="0.35">
      <c r="A17" s="8" t="s">
        <v>33</v>
      </c>
    </row>
    <row r="18" spans="1:1" x14ac:dyDescent="0.35">
      <c r="A18" s="8" t="s">
        <v>34</v>
      </c>
    </row>
  </sheetData>
  <conditionalFormatting sqref="B5:B14">
    <cfRule type="dataBar" priority="1">
      <dataBar>
        <cfvo type="min"/>
        <cfvo type="max"/>
        <color rgb="FF638EC6"/>
      </dataBar>
    </cfRule>
  </conditionalFormatting>
  <hyperlinks>
    <hyperlink ref="A16" r:id="rId1" xr:uid="{00000000-0004-0000-0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Log</vt:lpstr>
      <vt:lpstr>Donnees_V3</vt:lpstr>
      <vt:lpstr>Carte_V3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Davoust, Jules</dc:creator>
  <cp:lastModifiedBy>Davoust, Jules</cp:lastModifiedBy>
  <dcterms:created xsi:type="dcterms:W3CDTF">2015-06-05T18:17:20Z</dcterms:created>
  <dcterms:modified xsi:type="dcterms:W3CDTF">2026-10-27T08:47:11Z</dcterms:modified>
</cp:coreProperties>
</file>