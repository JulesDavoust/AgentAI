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davoust\natran\AgentAI\examples\sortiesPy\macroVF\"/>
    </mc:Choice>
  </mc:AlternateContent>
  <xr:revisionPtr revIDLastSave="0" documentId="13_ncr:1_{F9F05D62-4D54-4430-B32A-FC122CB5EDA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1" r:id="rId1"/>
    <sheet name="Feuille2" sheetId="2" r:id="rId2"/>
    <sheet name="Feuille1" sheetId="3" r:id="rId3"/>
    <sheet name="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C9" i="3" s="1"/>
  <c r="H2" i="3"/>
  <c r="E2" i="3"/>
  <c r="B2" i="3"/>
  <c r="B6" i="3" l="1"/>
  <c r="B7" i="3"/>
  <c r="C7" i="3"/>
  <c r="B8" i="3"/>
  <c r="C8" i="3"/>
  <c r="C6" i="3"/>
  <c r="B5" i="3"/>
  <c r="B9" i="3"/>
  <c r="C5" i="3"/>
</calcChain>
</file>

<file path=xl/sharedStrings.xml><?xml version="1.0" encoding="utf-8"?>
<sst xmlns="http://schemas.openxmlformats.org/spreadsheetml/2006/main" count="183" uniqueCount="30">
  <si>
    <t>Date</t>
  </si>
  <si>
    <t>Region</t>
  </si>
  <si>
    <t>Volume_GWh</t>
  </si>
  <si>
    <t>Temperature_C</t>
  </si>
  <si>
    <t>Statut</t>
  </si>
  <si>
    <t>Nord</t>
  </si>
  <si>
    <t>Historique</t>
  </si>
  <si>
    <t>Sud</t>
  </si>
  <si>
    <t>Est</t>
  </si>
  <si>
    <t>Ouest</t>
  </si>
  <si>
    <t>Centre</t>
  </si>
  <si>
    <t>Phase de test V2</t>
  </si>
  <si>
    <t>Suivi distribution gaz (V2 carte) - mis a jour le 27/10/2026 09:33</t>
  </si>
  <si>
    <t>Volume total (GWh)</t>
  </si>
  <si>
    <t>Moyenne / jour (GWh)</t>
  </si>
  <si>
    <t>Region du pic</t>
  </si>
  <si>
    <t>Dernier jour</t>
  </si>
  <si>
    <t>Volume du jour (GWh)</t>
  </si>
  <si>
    <t>Temp. moyenne (C)</t>
  </si>
  <si>
    <t>Ouvrir la carte interactive</t>
  </si>
  <si>
    <t>Fichier : C:\Users\jdavoust\natran\AgentAI\examples\sortiesPy\macroVF\VBA_Natran_Test_Carte_20261027_093332_VBATF_V2.html</t>
  </si>
  <si>
    <t>Horodatage</t>
  </si>
  <si>
    <t>Niveau</t>
  </si>
  <si>
    <t>Message</t>
  </si>
  <si>
    <t>INFO</t>
  </si>
  <si>
    <t>Structure initiale creee</t>
  </si>
  <si>
    <t>5 ligne(s) ajoutee(s) pour le 27/10/2026</t>
  </si>
  <si>
    <t>Filtre applique : Nord</t>
  </si>
  <si>
    <t>Carte generee : C:\Users\jdavoust\natran\AgentAI\examples\sortiesPy\macroVF\VBA_Natran_Test_Carte_20261027_093332_VBATF_V2.html</t>
  </si>
  <si>
    <t>Synthese regeneree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</si>
</sst>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h:mm:ss"/>
    <numFmt numFmtId="166" formatCode="#,##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0" applyNumberFormat="1"/>
    <xf numFmtId="0" fontId="2" fillId="2" borderId="0" xfId="0" applyFont="1" applyFill="1"/>
    <xf numFmtId="0" fontId="3" fillId="0" borderId="0" xfId="1"/>
    <xf numFmtId="0" fontId="4" fillId="0" borderId="0" xfId="0" applyFont="1"/>
    <xf numFmtId="165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nnees" displayName="tblDonnees" ref="A1:E76">
  <autoFilter ref="A1:E76" xr:uid="{00000000-0009-0000-0100-000001000000}">
    <filterColumn colId="1">
      <filters>
        <filter val="Nord"/>
      </filters>
    </filterColumn>
  </autoFilter>
  <tableColumns count="5">
    <tableColumn id="1" xr3:uid="{00000000-0010-0000-0000-000001000000}" name="Date"/>
    <tableColumn id="2" xr3:uid="{00000000-0010-0000-0000-000002000000}" name="Region"/>
    <tableColumn id="3" xr3:uid="{00000000-0010-0000-0000-000003000000}" name="Volume_GWh"/>
    <tableColumn id="4" xr3:uid="{00000000-0010-0000-0000-000004000000}" name="Temperature_C"/>
    <tableColumn id="5" xr3:uid="{00000000-0010-0000-0000-000005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VBA_Natran_Test_Carte_20261027_093332_VBATF_V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baseColWidth="10" defaultColWidth="8.7265625" defaultRowHeight="14.5" x14ac:dyDescent="0.35"/>
  <cols>
    <col min="1" max="1" width="10.453125" style="1" bestFit="1" customWidth="1"/>
    <col min="2" max="2" width="9.08984375" bestFit="1" customWidth="1"/>
    <col min="3" max="3" width="15.26953125" bestFit="1" customWidth="1"/>
    <col min="4" max="4" width="16.36328125" bestFit="1" customWidth="1"/>
    <col min="5" max="5" width="14.816406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46308</v>
      </c>
      <c r="B2" t="s">
        <v>5</v>
      </c>
      <c r="C2">
        <v>108.3</v>
      </c>
      <c r="D2">
        <v>12.1</v>
      </c>
      <c r="E2" t="s">
        <v>6</v>
      </c>
    </row>
    <row r="3" spans="1:5" hidden="1" x14ac:dyDescent="0.35">
      <c r="A3" s="1">
        <v>46308</v>
      </c>
      <c r="B3" t="s">
        <v>7</v>
      </c>
      <c r="C3">
        <v>84.7</v>
      </c>
      <c r="D3">
        <v>6.8</v>
      </c>
      <c r="E3" t="s">
        <v>6</v>
      </c>
    </row>
    <row r="4" spans="1:5" hidden="1" x14ac:dyDescent="0.35">
      <c r="A4" s="1">
        <v>46308</v>
      </c>
      <c r="B4" t="s">
        <v>8</v>
      </c>
      <c r="C4">
        <v>86.4</v>
      </c>
      <c r="D4">
        <v>6.1</v>
      </c>
      <c r="E4" t="s">
        <v>6</v>
      </c>
    </row>
    <row r="5" spans="1:5" hidden="1" x14ac:dyDescent="0.35">
      <c r="A5" s="1">
        <v>46308</v>
      </c>
      <c r="B5" t="s">
        <v>9</v>
      </c>
      <c r="C5">
        <v>60.8</v>
      </c>
      <c r="D5">
        <v>12.4</v>
      </c>
      <c r="E5" t="s">
        <v>6</v>
      </c>
    </row>
    <row r="6" spans="1:5" hidden="1" x14ac:dyDescent="0.35">
      <c r="A6" s="1">
        <v>46308</v>
      </c>
      <c r="B6" t="s">
        <v>10</v>
      </c>
      <c r="C6">
        <v>51.4</v>
      </c>
      <c r="D6">
        <v>3.7</v>
      </c>
      <c r="E6" t="s">
        <v>6</v>
      </c>
    </row>
    <row r="7" spans="1:5" x14ac:dyDescent="0.35">
      <c r="A7" s="1">
        <v>46309</v>
      </c>
      <c r="B7" t="s">
        <v>5</v>
      </c>
      <c r="C7">
        <v>128.9</v>
      </c>
      <c r="D7">
        <v>4.0999999999999996</v>
      </c>
      <c r="E7" t="s">
        <v>6</v>
      </c>
    </row>
    <row r="8" spans="1:5" hidden="1" x14ac:dyDescent="0.35">
      <c r="A8" s="1">
        <v>46309</v>
      </c>
      <c r="B8" t="s">
        <v>7</v>
      </c>
      <c r="C8">
        <v>84.2</v>
      </c>
      <c r="D8">
        <v>10.5</v>
      </c>
      <c r="E8" t="s">
        <v>6</v>
      </c>
    </row>
    <row r="9" spans="1:5" hidden="1" x14ac:dyDescent="0.35">
      <c r="A9" s="1">
        <v>46309</v>
      </c>
      <c r="B9" t="s">
        <v>8</v>
      </c>
      <c r="C9">
        <v>71.7</v>
      </c>
      <c r="D9">
        <v>4.5</v>
      </c>
      <c r="E9" t="s">
        <v>6</v>
      </c>
    </row>
    <row r="10" spans="1:5" hidden="1" x14ac:dyDescent="0.35">
      <c r="A10" s="1">
        <v>46309</v>
      </c>
      <c r="B10" t="s">
        <v>9</v>
      </c>
      <c r="C10">
        <v>61.3</v>
      </c>
      <c r="D10">
        <v>9.8000000000000007</v>
      </c>
      <c r="E10" t="s">
        <v>6</v>
      </c>
    </row>
    <row r="11" spans="1:5" hidden="1" x14ac:dyDescent="0.35">
      <c r="A11" s="1">
        <v>46309</v>
      </c>
      <c r="B11" t="s">
        <v>10</v>
      </c>
      <c r="C11">
        <v>62.9</v>
      </c>
      <c r="D11">
        <v>14.6</v>
      </c>
      <c r="E11" t="s">
        <v>6</v>
      </c>
    </row>
    <row r="12" spans="1:5" x14ac:dyDescent="0.35">
      <c r="A12" s="1">
        <v>46310</v>
      </c>
      <c r="B12" t="s">
        <v>5</v>
      </c>
      <c r="C12">
        <v>103.3</v>
      </c>
      <c r="D12">
        <v>10.199999999999999</v>
      </c>
      <c r="E12" t="s">
        <v>6</v>
      </c>
    </row>
    <row r="13" spans="1:5" hidden="1" x14ac:dyDescent="0.35">
      <c r="A13" s="1">
        <v>46310</v>
      </c>
      <c r="B13" t="s">
        <v>7</v>
      </c>
      <c r="C13">
        <v>87.4</v>
      </c>
      <c r="D13">
        <v>14.8</v>
      </c>
      <c r="E13" t="s">
        <v>6</v>
      </c>
    </row>
    <row r="14" spans="1:5" hidden="1" x14ac:dyDescent="0.35">
      <c r="A14" s="1">
        <v>46310</v>
      </c>
      <c r="B14" t="s">
        <v>8</v>
      </c>
      <c r="C14">
        <v>83.1</v>
      </c>
      <c r="D14">
        <v>6.9</v>
      </c>
      <c r="E14" t="s">
        <v>6</v>
      </c>
    </row>
    <row r="15" spans="1:5" hidden="1" x14ac:dyDescent="0.35">
      <c r="A15" s="1">
        <v>46310</v>
      </c>
      <c r="B15" t="s">
        <v>9</v>
      </c>
      <c r="C15">
        <v>80.099999999999994</v>
      </c>
      <c r="D15">
        <v>12.8</v>
      </c>
      <c r="E15" t="s">
        <v>6</v>
      </c>
    </row>
    <row r="16" spans="1:5" hidden="1" x14ac:dyDescent="0.35">
      <c r="A16" s="1">
        <v>46310</v>
      </c>
      <c r="B16" t="s">
        <v>10</v>
      </c>
      <c r="C16">
        <v>59</v>
      </c>
      <c r="D16">
        <v>9.3000000000000007</v>
      </c>
      <c r="E16" t="s">
        <v>6</v>
      </c>
    </row>
    <row r="17" spans="1:5" x14ac:dyDescent="0.35">
      <c r="A17" s="1">
        <v>46311</v>
      </c>
      <c r="B17" t="s">
        <v>5</v>
      </c>
      <c r="C17">
        <v>136.69999999999999</v>
      </c>
      <c r="D17">
        <v>2.8</v>
      </c>
      <c r="E17" t="s">
        <v>6</v>
      </c>
    </row>
    <row r="18" spans="1:5" hidden="1" x14ac:dyDescent="0.35">
      <c r="A18" s="1">
        <v>46311</v>
      </c>
      <c r="B18" t="s">
        <v>7</v>
      </c>
      <c r="C18">
        <v>105.5</v>
      </c>
      <c r="D18">
        <v>11.1</v>
      </c>
      <c r="E18" t="s">
        <v>6</v>
      </c>
    </row>
    <row r="19" spans="1:5" hidden="1" x14ac:dyDescent="0.35">
      <c r="A19" s="1">
        <v>46311</v>
      </c>
      <c r="B19" t="s">
        <v>8</v>
      </c>
      <c r="C19">
        <v>75.900000000000006</v>
      </c>
      <c r="D19">
        <v>5.3</v>
      </c>
      <c r="E19" t="s">
        <v>6</v>
      </c>
    </row>
    <row r="20" spans="1:5" hidden="1" x14ac:dyDescent="0.35">
      <c r="A20" s="1">
        <v>46311</v>
      </c>
      <c r="B20" t="s">
        <v>9</v>
      </c>
      <c r="C20">
        <v>74.599999999999994</v>
      </c>
      <c r="D20">
        <v>7</v>
      </c>
      <c r="E20" t="s">
        <v>6</v>
      </c>
    </row>
    <row r="21" spans="1:5" hidden="1" x14ac:dyDescent="0.35">
      <c r="A21" s="1">
        <v>46311</v>
      </c>
      <c r="B21" t="s">
        <v>10</v>
      </c>
      <c r="C21">
        <v>55.3</v>
      </c>
      <c r="D21">
        <v>4</v>
      </c>
      <c r="E21" t="s">
        <v>6</v>
      </c>
    </row>
    <row r="22" spans="1:5" x14ac:dyDescent="0.35">
      <c r="A22" s="1">
        <v>46312</v>
      </c>
      <c r="B22" t="s">
        <v>5</v>
      </c>
      <c r="C22">
        <v>104</v>
      </c>
      <c r="D22">
        <v>13.5</v>
      </c>
      <c r="E22" t="s">
        <v>6</v>
      </c>
    </row>
    <row r="23" spans="1:5" hidden="1" x14ac:dyDescent="0.35">
      <c r="A23" s="1">
        <v>46312</v>
      </c>
      <c r="B23" t="s">
        <v>7</v>
      </c>
      <c r="C23">
        <v>105.5</v>
      </c>
      <c r="D23">
        <v>11.3</v>
      </c>
      <c r="E23" t="s">
        <v>6</v>
      </c>
    </row>
    <row r="24" spans="1:5" hidden="1" x14ac:dyDescent="0.35">
      <c r="A24" s="1">
        <v>46312</v>
      </c>
      <c r="B24" t="s">
        <v>8</v>
      </c>
      <c r="C24">
        <v>89.1</v>
      </c>
      <c r="D24">
        <v>12.9</v>
      </c>
      <c r="E24" t="s">
        <v>6</v>
      </c>
    </row>
    <row r="25" spans="1:5" hidden="1" x14ac:dyDescent="0.35">
      <c r="A25" s="1">
        <v>46312</v>
      </c>
      <c r="B25" t="s">
        <v>9</v>
      </c>
      <c r="C25">
        <v>73.5</v>
      </c>
      <c r="D25">
        <v>4.8</v>
      </c>
      <c r="E25" t="s">
        <v>6</v>
      </c>
    </row>
    <row r="26" spans="1:5" hidden="1" x14ac:dyDescent="0.35">
      <c r="A26" s="1">
        <v>46312</v>
      </c>
      <c r="B26" t="s">
        <v>10</v>
      </c>
      <c r="C26">
        <v>56.9</v>
      </c>
      <c r="D26">
        <v>12.6</v>
      </c>
      <c r="E26" t="s">
        <v>6</v>
      </c>
    </row>
    <row r="27" spans="1:5" x14ac:dyDescent="0.35">
      <c r="A27" s="1">
        <v>46313</v>
      </c>
      <c r="B27" t="s">
        <v>5</v>
      </c>
      <c r="C27">
        <v>104.3</v>
      </c>
      <c r="D27">
        <v>3.7</v>
      </c>
      <c r="E27" t="s">
        <v>6</v>
      </c>
    </row>
    <row r="28" spans="1:5" hidden="1" x14ac:dyDescent="0.35">
      <c r="A28" s="1">
        <v>46313</v>
      </c>
      <c r="B28" t="s">
        <v>7</v>
      </c>
      <c r="C28">
        <v>101</v>
      </c>
      <c r="D28">
        <v>2.9</v>
      </c>
      <c r="E28" t="s">
        <v>6</v>
      </c>
    </row>
    <row r="29" spans="1:5" hidden="1" x14ac:dyDescent="0.35">
      <c r="A29" s="1">
        <v>46313</v>
      </c>
      <c r="B29" t="s">
        <v>8</v>
      </c>
      <c r="C29">
        <v>69.5</v>
      </c>
      <c r="D29">
        <v>12.5</v>
      </c>
      <c r="E29" t="s">
        <v>6</v>
      </c>
    </row>
    <row r="30" spans="1:5" hidden="1" x14ac:dyDescent="0.35">
      <c r="A30" s="1">
        <v>46313</v>
      </c>
      <c r="B30" t="s">
        <v>9</v>
      </c>
      <c r="C30">
        <v>74</v>
      </c>
      <c r="D30">
        <v>10.3</v>
      </c>
      <c r="E30" t="s">
        <v>6</v>
      </c>
    </row>
    <row r="31" spans="1:5" hidden="1" x14ac:dyDescent="0.35">
      <c r="A31" s="1">
        <v>46313</v>
      </c>
      <c r="B31" t="s">
        <v>10</v>
      </c>
      <c r="C31">
        <v>54.7</v>
      </c>
      <c r="D31">
        <v>12.3</v>
      </c>
      <c r="E31" t="s">
        <v>6</v>
      </c>
    </row>
    <row r="32" spans="1:5" x14ac:dyDescent="0.35">
      <c r="A32" s="1">
        <v>46314</v>
      </c>
      <c r="B32" t="s">
        <v>5</v>
      </c>
      <c r="C32">
        <v>117.7</v>
      </c>
      <c r="D32">
        <v>9.4</v>
      </c>
      <c r="E32" t="s">
        <v>6</v>
      </c>
    </row>
    <row r="33" spans="1:5" hidden="1" x14ac:dyDescent="0.35">
      <c r="A33" s="1">
        <v>46314</v>
      </c>
      <c r="B33" t="s">
        <v>7</v>
      </c>
      <c r="C33">
        <v>103.7</v>
      </c>
      <c r="D33">
        <v>8.5</v>
      </c>
      <c r="E33" t="s">
        <v>6</v>
      </c>
    </row>
    <row r="34" spans="1:5" hidden="1" x14ac:dyDescent="0.35">
      <c r="A34" s="1">
        <v>46314</v>
      </c>
      <c r="B34" t="s">
        <v>8</v>
      </c>
      <c r="C34">
        <v>87.3</v>
      </c>
      <c r="D34">
        <v>4.9000000000000004</v>
      </c>
      <c r="E34" t="s">
        <v>6</v>
      </c>
    </row>
    <row r="35" spans="1:5" hidden="1" x14ac:dyDescent="0.35">
      <c r="A35" s="1">
        <v>46314</v>
      </c>
      <c r="B35" t="s">
        <v>9</v>
      </c>
      <c r="C35">
        <v>70.2</v>
      </c>
      <c r="D35">
        <v>8.6</v>
      </c>
      <c r="E35" t="s">
        <v>6</v>
      </c>
    </row>
    <row r="36" spans="1:5" hidden="1" x14ac:dyDescent="0.35">
      <c r="A36" s="1">
        <v>46314</v>
      </c>
      <c r="B36" t="s">
        <v>10</v>
      </c>
      <c r="C36">
        <v>54.9</v>
      </c>
      <c r="D36">
        <v>14.1</v>
      </c>
      <c r="E36" t="s">
        <v>6</v>
      </c>
    </row>
    <row r="37" spans="1:5" x14ac:dyDescent="0.35">
      <c r="A37" s="1">
        <v>46315</v>
      </c>
      <c r="B37" t="s">
        <v>5</v>
      </c>
      <c r="C37">
        <v>105.5</v>
      </c>
      <c r="D37">
        <v>7.1</v>
      </c>
      <c r="E37" t="s">
        <v>6</v>
      </c>
    </row>
    <row r="38" spans="1:5" hidden="1" x14ac:dyDescent="0.35">
      <c r="A38" s="1">
        <v>46315</v>
      </c>
      <c r="B38" t="s">
        <v>7</v>
      </c>
      <c r="C38">
        <v>101.7</v>
      </c>
      <c r="D38">
        <v>5.8</v>
      </c>
      <c r="E38" t="s">
        <v>6</v>
      </c>
    </row>
    <row r="39" spans="1:5" hidden="1" x14ac:dyDescent="0.35">
      <c r="A39" s="1">
        <v>46315</v>
      </c>
      <c r="B39" t="s">
        <v>8</v>
      </c>
      <c r="C39">
        <v>84.7</v>
      </c>
      <c r="D39">
        <v>13</v>
      </c>
      <c r="E39" t="s">
        <v>6</v>
      </c>
    </row>
    <row r="40" spans="1:5" hidden="1" x14ac:dyDescent="0.35">
      <c r="A40" s="1">
        <v>46315</v>
      </c>
      <c r="B40" t="s">
        <v>9</v>
      </c>
      <c r="C40">
        <v>59.8</v>
      </c>
      <c r="D40">
        <v>8.5</v>
      </c>
      <c r="E40" t="s">
        <v>6</v>
      </c>
    </row>
    <row r="41" spans="1:5" hidden="1" x14ac:dyDescent="0.35">
      <c r="A41" s="1">
        <v>46315</v>
      </c>
      <c r="B41" t="s">
        <v>10</v>
      </c>
      <c r="C41">
        <v>66.599999999999994</v>
      </c>
      <c r="D41">
        <v>4.2</v>
      </c>
      <c r="E41" t="s">
        <v>6</v>
      </c>
    </row>
    <row r="42" spans="1:5" x14ac:dyDescent="0.35">
      <c r="A42" s="1">
        <v>46316</v>
      </c>
      <c r="B42" t="s">
        <v>5</v>
      </c>
      <c r="C42">
        <v>106.9</v>
      </c>
      <c r="D42">
        <v>5.8</v>
      </c>
      <c r="E42" t="s">
        <v>6</v>
      </c>
    </row>
    <row r="43" spans="1:5" hidden="1" x14ac:dyDescent="0.35">
      <c r="A43" s="1">
        <v>46316</v>
      </c>
      <c r="B43" t="s">
        <v>7</v>
      </c>
      <c r="C43">
        <v>95.1</v>
      </c>
      <c r="D43">
        <v>7.1</v>
      </c>
      <c r="E43" t="s">
        <v>6</v>
      </c>
    </row>
    <row r="44" spans="1:5" hidden="1" x14ac:dyDescent="0.35">
      <c r="A44" s="1">
        <v>46316</v>
      </c>
      <c r="B44" t="s">
        <v>8</v>
      </c>
      <c r="C44">
        <v>70.599999999999994</v>
      </c>
      <c r="D44">
        <v>4.3</v>
      </c>
      <c r="E44" t="s">
        <v>6</v>
      </c>
    </row>
    <row r="45" spans="1:5" hidden="1" x14ac:dyDescent="0.35">
      <c r="A45" s="1">
        <v>46316</v>
      </c>
      <c r="B45" t="s">
        <v>9</v>
      </c>
      <c r="C45">
        <v>65.099999999999994</v>
      </c>
      <c r="D45">
        <v>3.8</v>
      </c>
      <c r="E45" t="s">
        <v>6</v>
      </c>
    </row>
    <row r="46" spans="1:5" hidden="1" x14ac:dyDescent="0.35">
      <c r="A46" s="1">
        <v>46316</v>
      </c>
      <c r="B46" t="s">
        <v>10</v>
      </c>
      <c r="C46">
        <v>56.7</v>
      </c>
      <c r="D46">
        <v>6.4</v>
      </c>
      <c r="E46" t="s">
        <v>6</v>
      </c>
    </row>
    <row r="47" spans="1:5" x14ac:dyDescent="0.35">
      <c r="A47" s="1">
        <v>46317</v>
      </c>
      <c r="B47" t="s">
        <v>5</v>
      </c>
      <c r="C47">
        <v>120.5</v>
      </c>
      <c r="D47">
        <v>6.4</v>
      </c>
      <c r="E47" t="s">
        <v>6</v>
      </c>
    </row>
    <row r="48" spans="1:5" hidden="1" x14ac:dyDescent="0.35">
      <c r="A48" s="1">
        <v>46317</v>
      </c>
      <c r="B48" t="s">
        <v>7</v>
      </c>
      <c r="C48">
        <v>87.2</v>
      </c>
      <c r="D48">
        <v>10.5</v>
      </c>
      <c r="E48" t="s">
        <v>6</v>
      </c>
    </row>
    <row r="49" spans="1:5" hidden="1" x14ac:dyDescent="0.35">
      <c r="A49" s="1">
        <v>46317</v>
      </c>
      <c r="B49" t="s">
        <v>8</v>
      </c>
      <c r="C49">
        <v>90.8</v>
      </c>
      <c r="D49">
        <v>10.199999999999999</v>
      </c>
      <c r="E49" t="s">
        <v>6</v>
      </c>
    </row>
    <row r="50" spans="1:5" hidden="1" x14ac:dyDescent="0.35">
      <c r="A50" s="1">
        <v>46317</v>
      </c>
      <c r="B50" t="s">
        <v>9</v>
      </c>
      <c r="C50">
        <v>64.7</v>
      </c>
      <c r="D50">
        <v>4.3</v>
      </c>
      <c r="E50" t="s">
        <v>6</v>
      </c>
    </row>
    <row r="51" spans="1:5" hidden="1" x14ac:dyDescent="0.35">
      <c r="A51" s="1">
        <v>46317</v>
      </c>
      <c r="B51" t="s">
        <v>10</v>
      </c>
      <c r="C51">
        <v>68.400000000000006</v>
      </c>
      <c r="D51">
        <v>9.8000000000000007</v>
      </c>
      <c r="E51" t="s">
        <v>6</v>
      </c>
    </row>
    <row r="52" spans="1:5" x14ac:dyDescent="0.35">
      <c r="A52" s="1">
        <v>46318</v>
      </c>
      <c r="B52" t="s">
        <v>5</v>
      </c>
      <c r="C52">
        <v>136.69999999999999</v>
      </c>
      <c r="D52">
        <v>3.7</v>
      </c>
      <c r="E52" t="s">
        <v>6</v>
      </c>
    </row>
    <row r="53" spans="1:5" hidden="1" x14ac:dyDescent="0.35">
      <c r="A53" s="1">
        <v>46318</v>
      </c>
      <c r="B53" t="s">
        <v>7</v>
      </c>
      <c r="C53">
        <v>103</v>
      </c>
      <c r="D53">
        <v>5.7</v>
      </c>
      <c r="E53" t="s">
        <v>6</v>
      </c>
    </row>
    <row r="54" spans="1:5" hidden="1" x14ac:dyDescent="0.35">
      <c r="A54" s="1">
        <v>46318</v>
      </c>
      <c r="B54" t="s">
        <v>8</v>
      </c>
      <c r="C54">
        <v>86</v>
      </c>
      <c r="D54">
        <v>11.7</v>
      </c>
      <c r="E54" t="s">
        <v>6</v>
      </c>
    </row>
    <row r="55" spans="1:5" hidden="1" x14ac:dyDescent="0.35">
      <c r="A55" s="1">
        <v>46318</v>
      </c>
      <c r="B55" t="s">
        <v>9</v>
      </c>
      <c r="C55">
        <v>79.5</v>
      </c>
      <c r="D55">
        <v>6.7</v>
      </c>
      <c r="E55" t="s">
        <v>6</v>
      </c>
    </row>
    <row r="56" spans="1:5" hidden="1" x14ac:dyDescent="0.35">
      <c r="A56" s="1">
        <v>46318</v>
      </c>
      <c r="B56" t="s">
        <v>10</v>
      </c>
      <c r="C56">
        <v>68.900000000000006</v>
      </c>
      <c r="D56">
        <v>13.7</v>
      </c>
      <c r="E56" t="s">
        <v>6</v>
      </c>
    </row>
    <row r="57" spans="1:5" x14ac:dyDescent="0.35">
      <c r="A57" s="1">
        <v>46319</v>
      </c>
      <c r="B57" t="s">
        <v>5</v>
      </c>
      <c r="C57">
        <v>124.9</v>
      </c>
      <c r="D57">
        <v>14.5</v>
      </c>
      <c r="E57" t="s">
        <v>6</v>
      </c>
    </row>
    <row r="58" spans="1:5" hidden="1" x14ac:dyDescent="0.35">
      <c r="A58" s="1">
        <v>46319</v>
      </c>
      <c r="B58" t="s">
        <v>7</v>
      </c>
      <c r="C58">
        <v>81.3</v>
      </c>
      <c r="D58">
        <v>15.9</v>
      </c>
      <c r="E58" t="s">
        <v>6</v>
      </c>
    </row>
    <row r="59" spans="1:5" hidden="1" x14ac:dyDescent="0.35">
      <c r="A59" s="1">
        <v>46319</v>
      </c>
      <c r="B59" t="s">
        <v>8</v>
      </c>
      <c r="C59">
        <v>78</v>
      </c>
      <c r="D59">
        <v>14.9</v>
      </c>
      <c r="E59" t="s">
        <v>6</v>
      </c>
    </row>
    <row r="60" spans="1:5" hidden="1" x14ac:dyDescent="0.35">
      <c r="A60" s="1">
        <v>46319</v>
      </c>
      <c r="B60" t="s">
        <v>9</v>
      </c>
      <c r="C60">
        <v>68.900000000000006</v>
      </c>
      <c r="D60">
        <v>8.6999999999999993</v>
      </c>
      <c r="E60" t="s">
        <v>6</v>
      </c>
    </row>
    <row r="61" spans="1:5" hidden="1" x14ac:dyDescent="0.35">
      <c r="A61" s="1">
        <v>46319</v>
      </c>
      <c r="B61" t="s">
        <v>10</v>
      </c>
      <c r="C61">
        <v>59.4</v>
      </c>
      <c r="D61">
        <v>7.5</v>
      </c>
      <c r="E61" t="s">
        <v>6</v>
      </c>
    </row>
    <row r="62" spans="1:5" x14ac:dyDescent="0.35">
      <c r="A62" s="1">
        <v>46320</v>
      </c>
      <c r="B62" t="s">
        <v>5</v>
      </c>
      <c r="C62">
        <v>122.7</v>
      </c>
      <c r="D62">
        <v>5.4</v>
      </c>
      <c r="E62" t="s">
        <v>6</v>
      </c>
    </row>
    <row r="63" spans="1:5" hidden="1" x14ac:dyDescent="0.35">
      <c r="A63" s="1">
        <v>46320</v>
      </c>
      <c r="B63" t="s">
        <v>7</v>
      </c>
      <c r="C63">
        <v>107.4</v>
      </c>
      <c r="D63">
        <v>9.1999999999999993</v>
      </c>
      <c r="E63" t="s">
        <v>6</v>
      </c>
    </row>
    <row r="64" spans="1:5" hidden="1" x14ac:dyDescent="0.35">
      <c r="A64" s="1">
        <v>46320</v>
      </c>
      <c r="B64" t="s">
        <v>8</v>
      </c>
      <c r="C64">
        <v>68.7</v>
      </c>
      <c r="D64">
        <v>3.8</v>
      </c>
      <c r="E64" t="s">
        <v>6</v>
      </c>
    </row>
    <row r="65" spans="1:5" hidden="1" x14ac:dyDescent="0.35">
      <c r="A65" s="1">
        <v>46320</v>
      </c>
      <c r="B65" t="s">
        <v>9</v>
      </c>
      <c r="C65">
        <v>76.099999999999994</v>
      </c>
      <c r="D65">
        <v>4.5</v>
      </c>
      <c r="E65" t="s">
        <v>6</v>
      </c>
    </row>
    <row r="66" spans="1:5" hidden="1" x14ac:dyDescent="0.35">
      <c r="A66" s="1">
        <v>46320</v>
      </c>
      <c r="B66" t="s">
        <v>10</v>
      </c>
      <c r="C66">
        <v>51.8</v>
      </c>
      <c r="D66">
        <v>8.1999999999999993</v>
      </c>
      <c r="E66" t="s">
        <v>6</v>
      </c>
    </row>
    <row r="67" spans="1:5" x14ac:dyDescent="0.35">
      <c r="A67" s="1">
        <v>46321</v>
      </c>
      <c r="B67" t="s">
        <v>5</v>
      </c>
      <c r="C67">
        <v>124.1</v>
      </c>
      <c r="D67">
        <v>5.9</v>
      </c>
      <c r="E67" t="s">
        <v>6</v>
      </c>
    </row>
    <row r="68" spans="1:5" hidden="1" x14ac:dyDescent="0.35">
      <c r="A68" s="1">
        <v>46321</v>
      </c>
      <c r="B68" t="s">
        <v>7</v>
      </c>
      <c r="C68">
        <v>102.1</v>
      </c>
      <c r="D68">
        <v>3.3</v>
      </c>
      <c r="E68" t="s">
        <v>6</v>
      </c>
    </row>
    <row r="69" spans="1:5" hidden="1" x14ac:dyDescent="0.35">
      <c r="A69" s="1">
        <v>46321</v>
      </c>
      <c r="B69" t="s">
        <v>8</v>
      </c>
      <c r="C69">
        <v>68.2</v>
      </c>
      <c r="D69">
        <v>11.5</v>
      </c>
      <c r="E69" t="s">
        <v>6</v>
      </c>
    </row>
    <row r="70" spans="1:5" hidden="1" x14ac:dyDescent="0.35">
      <c r="A70" s="1">
        <v>46321</v>
      </c>
      <c r="B70" t="s">
        <v>9</v>
      </c>
      <c r="C70">
        <v>64.599999999999994</v>
      </c>
      <c r="D70">
        <v>15.8</v>
      </c>
      <c r="E70" t="s">
        <v>6</v>
      </c>
    </row>
    <row r="71" spans="1:5" hidden="1" x14ac:dyDescent="0.35">
      <c r="A71" s="1">
        <v>46321</v>
      </c>
      <c r="B71" t="s">
        <v>10</v>
      </c>
      <c r="C71">
        <v>52.5</v>
      </c>
      <c r="D71">
        <v>14.2</v>
      </c>
      <c r="E71" t="s">
        <v>6</v>
      </c>
    </row>
    <row r="72" spans="1:5" x14ac:dyDescent="0.35">
      <c r="A72" s="1">
        <v>46322</v>
      </c>
      <c r="B72" t="s">
        <v>5</v>
      </c>
      <c r="C72">
        <v>119.1</v>
      </c>
      <c r="D72">
        <v>14.1</v>
      </c>
      <c r="E72" t="s">
        <v>11</v>
      </c>
    </row>
    <row r="73" spans="1:5" hidden="1" x14ac:dyDescent="0.35">
      <c r="A73" s="1">
        <v>46322</v>
      </c>
      <c r="B73" t="s">
        <v>7</v>
      </c>
      <c r="C73">
        <v>94.3</v>
      </c>
      <c r="D73">
        <v>10.6</v>
      </c>
      <c r="E73" t="s">
        <v>11</v>
      </c>
    </row>
    <row r="74" spans="1:5" hidden="1" x14ac:dyDescent="0.35">
      <c r="A74" s="1">
        <v>46322</v>
      </c>
      <c r="B74" t="s">
        <v>8</v>
      </c>
      <c r="C74">
        <v>70.900000000000006</v>
      </c>
      <c r="D74">
        <v>2.1</v>
      </c>
      <c r="E74" t="s">
        <v>11</v>
      </c>
    </row>
    <row r="75" spans="1:5" hidden="1" x14ac:dyDescent="0.35">
      <c r="A75" s="1">
        <v>46322</v>
      </c>
      <c r="B75" t="s">
        <v>9</v>
      </c>
      <c r="C75">
        <v>69.599999999999994</v>
      </c>
      <c r="D75">
        <v>15</v>
      </c>
      <c r="E75" t="s">
        <v>11</v>
      </c>
    </row>
    <row r="76" spans="1:5" hidden="1" x14ac:dyDescent="0.35">
      <c r="A76" s="1">
        <v>46322</v>
      </c>
      <c r="B76" t="s">
        <v>10</v>
      </c>
      <c r="C76">
        <v>58.7</v>
      </c>
      <c r="D76">
        <v>5.8</v>
      </c>
      <c r="E76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/>
  </sheetViews>
  <sheetFormatPr baseColWidth="10" defaultColWidth="8.7265625" defaultRowHeight="14.5" x14ac:dyDescent="0.35"/>
  <cols>
    <col min="1" max="1" width="24.6328125" customWidth="1"/>
    <col min="2" max="2" width="20.453125" bestFit="1" customWidth="1"/>
    <col min="3" max="3" width="17.7265625" bestFit="1" customWidth="1"/>
    <col min="4" max="4" width="20.54296875" bestFit="1" customWidth="1"/>
    <col min="5" max="5" width="5.26953125" bestFit="1" customWidth="1"/>
    <col min="7" max="7" width="12.26953125" bestFit="1" customWidth="1"/>
    <col min="8" max="8" width="5.1796875" bestFit="1" customWidth="1"/>
  </cols>
  <sheetData>
    <row r="1" spans="1:8" ht="18.5" x14ac:dyDescent="0.45">
      <c r="A1" s="2" t="s">
        <v>12</v>
      </c>
    </row>
    <row r="2" spans="1:8" x14ac:dyDescent="0.35">
      <c r="A2" s="3" t="s">
        <v>13</v>
      </c>
      <c r="B2" s="4">
        <f>SUM(tblDonnees[Volume_GWh])</f>
        <v>6309.4999999999982</v>
      </c>
      <c r="D2" s="3" t="s">
        <v>14</v>
      </c>
      <c r="E2" s="4">
        <f>SUM(tblDonnees[Volume_GWh])/SUMPRODUCT(1/COUNTIF(tblDonnees[Date],tblDonnees[Date]))</f>
        <v>420.63333333333384</v>
      </c>
      <c r="G2" s="3" t="s">
        <v>15</v>
      </c>
      <c r="H2" t="str">
        <f>INDEX(tblDonnees[Region],MATCH(MAX(tblDonnees[Volume_GWh]),tblDonnees[Volume_GWh],0))</f>
        <v>Nord</v>
      </c>
    </row>
    <row r="3" spans="1:8" x14ac:dyDescent="0.35">
      <c r="A3" t="s">
        <v>16</v>
      </c>
      <c r="B3" s="1">
        <f>MAX(tblDonnees[Date])</f>
        <v>46322</v>
      </c>
    </row>
    <row r="4" spans="1:8" x14ac:dyDescent="0.35">
      <c r="A4" s="5" t="s">
        <v>1</v>
      </c>
      <c r="B4" s="5" t="s">
        <v>17</v>
      </c>
      <c r="C4" s="5" t="s">
        <v>18</v>
      </c>
    </row>
    <row r="5" spans="1:8" x14ac:dyDescent="0.35">
      <c r="A5" t="s">
        <v>5</v>
      </c>
      <c r="B5" s="4">
        <f>SUMIFS(tblDonnees[Volume_GWh],tblDonnees[Region],A5,tblDonnees[Date],$B$3)</f>
        <v>119.1</v>
      </c>
      <c r="C5" s="4">
        <f>IFERROR(AVERAGEIFS(tblDonnees[Temperature_C],tblDonnees[Region],A5,tblDonnees[Date],$B$3),"")</f>
        <v>14.1</v>
      </c>
    </row>
    <row r="6" spans="1:8" x14ac:dyDescent="0.35">
      <c r="A6" t="s">
        <v>7</v>
      </c>
      <c r="B6" s="4">
        <f>SUMIFS(tblDonnees[Volume_GWh],tblDonnees[Region],A6,tblDonnees[Date],$B$3)</f>
        <v>94.3</v>
      </c>
      <c r="C6" s="4">
        <f>IFERROR(AVERAGEIFS(tblDonnees[Temperature_C],tblDonnees[Region],A6,tblDonnees[Date],$B$3),"")</f>
        <v>10.6</v>
      </c>
    </row>
    <row r="7" spans="1:8" x14ac:dyDescent="0.35">
      <c r="A7" t="s">
        <v>8</v>
      </c>
      <c r="B7" s="4">
        <f>SUMIFS(tblDonnees[Volume_GWh],tblDonnees[Region],A7,tblDonnees[Date],$B$3)</f>
        <v>70.900000000000006</v>
      </c>
      <c r="C7" s="4">
        <f>IFERROR(AVERAGEIFS(tblDonnees[Temperature_C],tblDonnees[Region],A7,tblDonnees[Date],$B$3),"")</f>
        <v>2.1</v>
      </c>
    </row>
    <row r="8" spans="1:8" x14ac:dyDescent="0.35">
      <c r="A8" t="s">
        <v>9</v>
      </c>
      <c r="B8" s="4">
        <f>SUMIFS(tblDonnees[Volume_GWh],tblDonnees[Region],A8,tblDonnees[Date],$B$3)</f>
        <v>69.599999999999994</v>
      </c>
      <c r="C8" s="4">
        <f>IFERROR(AVERAGEIFS(tblDonnees[Temperature_C],tblDonnees[Region],A8,tblDonnees[Date],$B$3),"")</f>
        <v>15</v>
      </c>
    </row>
    <row r="9" spans="1:8" x14ac:dyDescent="0.35">
      <c r="A9" t="s">
        <v>10</v>
      </c>
      <c r="B9" s="4">
        <f>SUMIFS(tblDonnees[Volume_GWh],tblDonnees[Region],A9,tblDonnees[Date],$B$3)</f>
        <v>58.7</v>
      </c>
      <c r="C9" s="4">
        <f>IFERROR(AVERAGEIFS(tblDonnees[Temperature_C],tblDonnees[Region],A9,tblDonnees[Date],$B$3),"")</f>
        <v>5.8</v>
      </c>
    </row>
    <row r="11" spans="1:8" ht="15.5" x14ac:dyDescent="0.35">
      <c r="A11" s="6" t="s">
        <v>19</v>
      </c>
    </row>
    <row r="12" spans="1:8" x14ac:dyDescent="0.35">
      <c r="A12" s="7" t="s">
        <v>20</v>
      </c>
    </row>
  </sheetData>
  <conditionalFormatting sqref="B5:B9">
    <cfRule type="dataBar" priority="1">
      <dataBar>
        <cfvo type="min"/>
        <cfvo type="max"/>
        <color rgb="FF638EC6"/>
      </dataBar>
    </cfRule>
  </conditionalFormatting>
  <hyperlinks>
    <hyperlink ref="A11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 s="8">
        <v>46322.398296322201</v>
      </c>
      <c r="B2" t="s">
        <v>24</v>
      </c>
      <c r="C2" t="s">
        <v>25</v>
      </c>
    </row>
    <row r="3" spans="1:3" x14ac:dyDescent="0.35">
      <c r="A3" s="8">
        <v>46322.398296357802</v>
      </c>
      <c r="B3" t="s">
        <v>24</v>
      </c>
      <c r="C3" t="s">
        <v>26</v>
      </c>
    </row>
    <row r="4" spans="1:3" x14ac:dyDescent="0.35">
      <c r="A4" s="8">
        <v>46322.398296375817</v>
      </c>
      <c r="B4" t="s">
        <v>24</v>
      </c>
      <c r="C4" t="s">
        <v>27</v>
      </c>
    </row>
    <row r="5" spans="1:3" x14ac:dyDescent="0.35">
      <c r="A5" s="8">
        <v>46322.398296377942</v>
      </c>
      <c r="B5" t="s">
        <v>24</v>
      </c>
      <c r="C5" t="s">
        <v>28</v>
      </c>
    </row>
    <row r="6" spans="1:3" x14ac:dyDescent="0.35">
      <c r="A6" s="8">
        <v>46322.398296480576</v>
      </c>
      <c r="B6" t="s">
        <v>24</v>
      </c>
      <c r="C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Feuille2</vt:lpstr>
      <vt:lpstr>Feuille1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Davoust, Jules</dc:creator>
  <cp:lastModifiedBy>Davoust, Jules</cp:lastModifiedBy>
  <dcterms:created xsi:type="dcterms:W3CDTF">2015-06-05T18:17:20Z</dcterms:created>
  <dcterms:modified xsi:type="dcterms:W3CDTF">2026-10-27T08:33:34Z</dcterms:modified>
</cp:coreProperties>
</file>