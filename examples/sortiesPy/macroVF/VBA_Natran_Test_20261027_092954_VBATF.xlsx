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davoust\natran\AgentAI\examples\sortiesPy\macroVF\"/>
    </mc:Choice>
  </mc:AlternateContent>
  <xr:revisionPtr revIDLastSave="0" documentId="13_ncr:1_{8364D566-68D9-4CD2-9815-9EF66B706D19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Sheet1" sheetId="1" r:id="rId1"/>
    <sheet name="Feuille2" sheetId="2" r:id="rId2"/>
    <sheet name="Feuille1" sheetId="3" r:id="rId3"/>
    <sheet name="Log" sheetId="4" r:id="rId4"/>
  </sheets>
  <calcPr calcId="191029"/>
  <pivotCaches>
    <pivotCache cacheId="4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" i="3" l="1"/>
  <c r="E2" i="3"/>
  <c r="B2" i="3"/>
</calcChain>
</file>

<file path=xl/sharedStrings.xml><?xml version="1.0" encoding="utf-8"?>
<sst xmlns="http://schemas.openxmlformats.org/spreadsheetml/2006/main" count="180" uniqueCount="28">
  <si>
    <t>Date</t>
  </si>
  <si>
    <t>Region</t>
  </si>
  <si>
    <t>Volume_GWh</t>
  </si>
  <si>
    <t>Temperature_C</t>
  </si>
  <si>
    <t>Statut</t>
  </si>
  <si>
    <t>Nord</t>
  </si>
  <si>
    <t>Historique</t>
  </si>
  <si>
    <t>Sud</t>
  </si>
  <si>
    <t>Est</t>
  </si>
  <si>
    <t>Ouest</t>
  </si>
  <si>
    <t>Centre</t>
  </si>
  <si>
    <t>Phase de test</t>
  </si>
  <si>
    <t>Suivi distribution gaz - mis a jour le 27/10/2026 09:29</t>
  </si>
  <si>
    <t>Volume total (GWh)</t>
  </si>
  <si>
    <t>Moyenne / jour (GWh)</t>
  </si>
  <si>
    <t>Region du pic</t>
  </si>
  <si>
    <t>Horodatage</t>
  </si>
  <si>
    <t>Niveau</t>
  </si>
  <si>
    <t>Message</t>
  </si>
  <si>
    <t>INFO</t>
  </si>
  <si>
    <t>Structure initiale creee</t>
  </si>
  <si>
    <t>5 ligne(s) ajoutee(s) pour le 27/10/2026</t>
  </si>
  <si>
    <t>Filtre applique : Nord</t>
  </si>
  <si>
    <t>Visuel regenere</t>
  </si>
  <si>
    <t>Étiquettes de lignes</t>
  </si>
  <si>
    <t>Total général</t>
  </si>
  <si>
    <t>Étiquettes de colonnes</t>
  </si>
  <si>
    <t>Volume 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</si>
</sst>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dd/mm/yyyy\ hh:mm:ss"/>
    <numFmt numFmtId="166" formatCode="#,##0.0"/>
    <numFmt numFmtId="167" formatCode="dd/mm"/>
  </numFmts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0" borderId="0" xfId="0" applyFont="1"/>
    <xf numFmtId="166" fontId="0" fillId="0" borderId="0" xfId="0" applyNumberFormat="1"/>
    <xf numFmtId="165" fontId="0" fillId="0" borderId="0" xfId="0" applyNumberFormat="1"/>
    <xf numFmtId="0" fontId="0" fillId="0" borderId="0" xfId="0" pivotButton="1"/>
    <xf numFmtId="167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[VBA_Natran_Test_20261027_092954_VBATF.xlsx]Feuille1!TCD_Volume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fr-FR"/>
              <a:t>Volumes distribues par region (GWh)</a:t>
            </a:r>
          </a:p>
        </c:rich>
      </c:tx>
      <c:overlay val="0"/>
    </c:title>
    <c:autoTitleDeleted val="0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Feuille1!$B$5:$B$6</c:f>
              <c:strCache>
                <c:ptCount val="1"/>
                <c:pt idx="0">
                  <c:v>Centre</c:v>
                </c:pt>
              </c:strCache>
            </c:strRef>
          </c:tx>
          <c:marker>
            <c:symbol val="none"/>
          </c:marker>
          <c:cat>
            <c:strRef>
              <c:f>Feuille1!$A$7:$A$22</c:f>
              <c:strCache>
                <c:ptCount val="15"/>
                <c:pt idx="0">
                  <c:v>13/10</c:v>
                </c:pt>
                <c:pt idx="1">
                  <c:v>14/10</c:v>
                </c:pt>
                <c:pt idx="2">
                  <c:v>15/10</c:v>
                </c:pt>
                <c:pt idx="3">
                  <c:v>16/10</c:v>
                </c:pt>
                <c:pt idx="4">
                  <c:v>17/10</c:v>
                </c:pt>
                <c:pt idx="5">
                  <c:v>18/10</c:v>
                </c:pt>
                <c:pt idx="6">
                  <c:v>19/10</c:v>
                </c:pt>
                <c:pt idx="7">
                  <c:v>20/10</c:v>
                </c:pt>
                <c:pt idx="8">
                  <c:v>21/10</c:v>
                </c:pt>
                <c:pt idx="9">
                  <c:v>22/10</c:v>
                </c:pt>
                <c:pt idx="10">
                  <c:v>23/10</c:v>
                </c:pt>
                <c:pt idx="11">
                  <c:v>24/10</c:v>
                </c:pt>
                <c:pt idx="12">
                  <c:v>25/10</c:v>
                </c:pt>
                <c:pt idx="13">
                  <c:v>26/10</c:v>
                </c:pt>
                <c:pt idx="14">
                  <c:v>27/10</c:v>
                </c:pt>
              </c:strCache>
            </c:strRef>
          </c:cat>
          <c:val>
            <c:numRef>
              <c:f>Feuille1!$B$7:$B$22</c:f>
              <c:numCache>
                <c:formatCode>#\ ##0.0</c:formatCode>
                <c:ptCount val="15"/>
                <c:pt idx="0">
                  <c:v>67.5</c:v>
                </c:pt>
                <c:pt idx="1">
                  <c:v>53.7</c:v>
                </c:pt>
                <c:pt idx="2">
                  <c:v>63.4</c:v>
                </c:pt>
                <c:pt idx="3">
                  <c:v>64.8</c:v>
                </c:pt>
                <c:pt idx="4">
                  <c:v>65</c:v>
                </c:pt>
                <c:pt idx="5">
                  <c:v>57.9</c:v>
                </c:pt>
                <c:pt idx="6">
                  <c:v>58</c:v>
                </c:pt>
                <c:pt idx="7">
                  <c:v>68.7</c:v>
                </c:pt>
                <c:pt idx="8">
                  <c:v>58.3</c:v>
                </c:pt>
                <c:pt idx="9">
                  <c:v>66.900000000000006</c:v>
                </c:pt>
                <c:pt idx="10">
                  <c:v>64.5</c:v>
                </c:pt>
                <c:pt idx="11">
                  <c:v>53.2</c:v>
                </c:pt>
                <c:pt idx="12">
                  <c:v>51.1</c:v>
                </c:pt>
                <c:pt idx="13">
                  <c:v>55.4</c:v>
                </c:pt>
                <c:pt idx="14">
                  <c:v>68.3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09-4234-BA1E-5A48041861E1}"/>
            </c:ext>
          </c:extLst>
        </c:ser>
        <c:ser>
          <c:idx val="1"/>
          <c:order val="1"/>
          <c:tx>
            <c:strRef>
              <c:f>Feuille1!$C$5:$C$6</c:f>
              <c:strCache>
                <c:ptCount val="1"/>
                <c:pt idx="0">
                  <c:v>Est</c:v>
                </c:pt>
              </c:strCache>
            </c:strRef>
          </c:tx>
          <c:marker>
            <c:symbol val="none"/>
          </c:marker>
          <c:cat>
            <c:strRef>
              <c:f>Feuille1!$A$7:$A$22</c:f>
              <c:strCache>
                <c:ptCount val="15"/>
                <c:pt idx="0">
                  <c:v>13/10</c:v>
                </c:pt>
                <c:pt idx="1">
                  <c:v>14/10</c:v>
                </c:pt>
                <c:pt idx="2">
                  <c:v>15/10</c:v>
                </c:pt>
                <c:pt idx="3">
                  <c:v>16/10</c:v>
                </c:pt>
                <c:pt idx="4">
                  <c:v>17/10</c:v>
                </c:pt>
                <c:pt idx="5">
                  <c:v>18/10</c:v>
                </c:pt>
                <c:pt idx="6">
                  <c:v>19/10</c:v>
                </c:pt>
                <c:pt idx="7">
                  <c:v>20/10</c:v>
                </c:pt>
                <c:pt idx="8">
                  <c:v>21/10</c:v>
                </c:pt>
                <c:pt idx="9">
                  <c:v>22/10</c:v>
                </c:pt>
                <c:pt idx="10">
                  <c:v>23/10</c:v>
                </c:pt>
                <c:pt idx="11">
                  <c:v>24/10</c:v>
                </c:pt>
                <c:pt idx="12">
                  <c:v>25/10</c:v>
                </c:pt>
                <c:pt idx="13">
                  <c:v>26/10</c:v>
                </c:pt>
                <c:pt idx="14">
                  <c:v>27/10</c:v>
                </c:pt>
              </c:strCache>
            </c:strRef>
          </c:cat>
          <c:val>
            <c:numRef>
              <c:f>Feuille1!$C$7:$C$22</c:f>
              <c:numCache>
                <c:formatCode>#\ ##0.0</c:formatCode>
                <c:ptCount val="15"/>
                <c:pt idx="0">
                  <c:v>88.4</c:v>
                </c:pt>
                <c:pt idx="1">
                  <c:v>78.400000000000006</c:v>
                </c:pt>
                <c:pt idx="2">
                  <c:v>90.1</c:v>
                </c:pt>
                <c:pt idx="3">
                  <c:v>83.4</c:v>
                </c:pt>
                <c:pt idx="4">
                  <c:v>84.1</c:v>
                </c:pt>
                <c:pt idx="5">
                  <c:v>91</c:v>
                </c:pt>
                <c:pt idx="6">
                  <c:v>82.6</c:v>
                </c:pt>
                <c:pt idx="7">
                  <c:v>83.7</c:v>
                </c:pt>
                <c:pt idx="8">
                  <c:v>75.599999999999994</c:v>
                </c:pt>
                <c:pt idx="9">
                  <c:v>70.3</c:v>
                </c:pt>
                <c:pt idx="10">
                  <c:v>80</c:v>
                </c:pt>
                <c:pt idx="11">
                  <c:v>77.400000000000006</c:v>
                </c:pt>
                <c:pt idx="12">
                  <c:v>79.2</c:v>
                </c:pt>
                <c:pt idx="13">
                  <c:v>85.2</c:v>
                </c:pt>
                <c:pt idx="14">
                  <c:v>78.7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109-4234-BA1E-5A48041861E1}"/>
            </c:ext>
          </c:extLst>
        </c:ser>
        <c:ser>
          <c:idx val="2"/>
          <c:order val="2"/>
          <c:tx>
            <c:strRef>
              <c:f>Feuille1!$D$5:$D$6</c:f>
              <c:strCache>
                <c:ptCount val="1"/>
                <c:pt idx="0">
                  <c:v>Nord</c:v>
                </c:pt>
              </c:strCache>
            </c:strRef>
          </c:tx>
          <c:marker>
            <c:symbol val="none"/>
          </c:marker>
          <c:cat>
            <c:strRef>
              <c:f>Feuille1!$A$7:$A$22</c:f>
              <c:strCache>
                <c:ptCount val="15"/>
                <c:pt idx="0">
                  <c:v>13/10</c:v>
                </c:pt>
                <c:pt idx="1">
                  <c:v>14/10</c:v>
                </c:pt>
                <c:pt idx="2">
                  <c:v>15/10</c:v>
                </c:pt>
                <c:pt idx="3">
                  <c:v>16/10</c:v>
                </c:pt>
                <c:pt idx="4">
                  <c:v>17/10</c:v>
                </c:pt>
                <c:pt idx="5">
                  <c:v>18/10</c:v>
                </c:pt>
                <c:pt idx="6">
                  <c:v>19/10</c:v>
                </c:pt>
                <c:pt idx="7">
                  <c:v>20/10</c:v>
                </c:pt>
                <c:pt idx="8">
                  <c:v>21/10</c:v>
                </c:pt>
                <c:pt idx="9">
                  <c:v>22/10</c:v>
                </c:pt>
                <c:pt idx="10">
                  <c:v>23/10</c:v>
                </c:pt>
                <c:pt idx="11">
                  <c:v>24/10</c:v>
                </c:pt>
                <c:pt idx="12">
                  <c:v>25/10</c:v>
                </c:pt>
                <c:pt idx="13">
                  <c:v>26/10</c:v>
                </c:pt>
                <c:pt idx="14">
                  <c:v>27/10</c:v>
                </c:pt>
              </c:strCache>
            </c:strRef>
          </c:cat>
          <c:val>
            <c:numRef>
              <c:f>Feuille1!$D$7:$D$22</c:f>
              <c:numCache>
                <c:formatCode>#\ ##0.0</c:formatCode>
                <c:ptCount val="15"/>
                <c:pt idx="0">
                  <c:v>126.5</c:v>
                </c:pt>
                <c:pt idx="1">
                  <c:v>105.6</c:v>
                </c:pt>
                <c:pt idx="2">
                  <c:v>119.9</c:v>
                </c:pt>
                <c:pt idx="3">
                  <c:v>137.1</c:v>
                </c:pt>
                <c:pt idx="4">
                  <c:v>112.4</c:v>
                </c:pt>
                <c:pt idx="5">
                  <c:v>125</c:v>
                </c:pt>
                <c:pt idx="6">
                  <c:v>133.5</c:v>
                </c:pt>
                <c:pt idx="7">
                  <c:v>102.1</c:v>
                </c:pt>
                <c:pt idx="8">
                  <c:v>111</c:v>
                </c:pt>
                <c:pt idx="9">
                  <c:v>137.9</c:v>
                </c:pt>
                <c:pt idx="10">
                  <c:v>135.6</c:v>
                </c:pt>
                <c:pt idx="11">
                  <c:v>137.1</c:v>
                </c:pt>
                <c:pt idx="12">
                  <c:v>137.69999999999999</c:v>
                </c:pt>
                <c:pt idx="13">
                  <c:v>109.1</c:v>
                </c:pt>
                <c:pt idx="14">
                  <c:v>135.80000000000001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109-4234-BA1E-5A48041861E1}"/>
            </c:ext>
          </c:extLst>
        </c:ser>
        <c:ser>
          <c:idx val="3"/>
          <c:order val="3"/>
          <c:tx>
            <c:strRef>
              <c:f>Feuille1!$E$5:$E$6</c:f>
              <c:strCache>
                <c:ptCount val="1"/>
                <c:pt idx="0">
                  <c:v>Ouest</c:v>
                </c:pt>
              </c:strCache>
            </c:strRef>
          </c:tx>
          <c:marker>
            <c:symbol val="none"/>
          </c:marker>
          <c:cat>
            <c:strRef>
              <c:f>Feuille1!$A$7:$A$22</c:f>
              <c:strCache>
                <c:ptCount val="15"/>
                <c:pt idx="0">
                  <c:v>13/10</c:v>
                </c:pt>
                <c:pt idx="1">
                  <c:v>14/10</c:v>
                </c:pt>
                <c:pt idx="2">
                  <c:v>15/10</c:v>
                </c:pt>
                <c:pt idx="3">
                  <c:v>16/10</c:v>
                </c:pt>
                <c:pt idx="4">
                  <c:v>17/10</c:v>
                </c:pt>
                <c:pt idx="5">
                  <c:v>18/10</c:v>
                </c:pt>
                <c:pt idx="6">
                  <c:v>19/10</c:v>
                </c:pt>
                <c:pt idx="7">
                  <c:v>20/10</c:v>
                </c:pt>
                <c:pt idx="8">
                  <c:v>21/10</c:v>
                </c:pt>
                <c:pt idx="9">
                  <c:v>22/10</c:v>
                </c:pt>
                <c:pt idx="10">
                  <c:v>23/10</c:v>
                </c:pt>
                <c:pt idx="11">
                  <c:v>24/10</c:v>
                </c:pt>
                <c:pt idx="12">
                  <c:v>25/10</c:v>
                </c:pt>
                <c:pt idx="13">
                  <c:v>26/10</c:v>
                </c:pt>
                <c:pt idx="14">
                  <c:v>27/10</c:v>
                </c:pt>
              </c:strCache>
            </c:strRef>
          </c:cat>
          <c:val>
            <c:numRef>
              <c:f>Feuille1!$E$7:$E$22</c:f>
              <c:numCache>
                <c:formatCode>#\ ##0.0</c:formatCode>
                <c:ptCount val="15"/>
                <c:pt idx="0">
                  <c:v>73.5</c:v>
                </c:pt>
                <c:pt idx="1">
                  <c:v>75</c:v>
                </c:pt>
                <c:pt idx="2">
                  <c:v>62</c:v>
                </c:pt>
                <c:pt idx="3">
                  <c:v>75.599999999999994</c:v>
                </c:pt>
                <c:pt idx="4">
                  <c:v>64.7</c:v>
                </c:pt>
                <c:pt idx="5">
                  <c:v>71.5</c:v>
                </c:pt>
                <c:pt idx="6">
                  <c:v>62.9</c:v>
                </c:pt>
                <c:pt idx="7">
                  <c:v>64.5</c:v>
                </c:pt>
                <c:pt idx="8">
                  <c:v>70.599999999999994</c:v>
                </c:pt>
                <c:pt idx="9">
                  <c:v>76.599999999999994</c:v>
                </c:pt>
                <c:pt idx="10">
                  <c:v>63.5</c:v>
                </c:pt>
                <c:pt idx="11">
                  <c:v>79.900000000000006</c:v>
                </c:pt>
                <c:pt idx="12">
                  <c:v>67</c:v>
                </c:pt>
                <c:pt idx="13">
                  <c:v>74.5</c:v>
                </c:pt>
                <c:pt idx="14">
                  <c:v>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109-4234-BA1E-5A48041861E1}"/>
            </c:ext>
          </c:extLst>
        </c:ser>
        <c:ser>
          <c:idx val="4"/>
          <c:order val="4"/>
          <c:tx>
            <c:strRef>
              <c:f>Feuille1!$F$5:$F$6</c:f>
              <c:strCache>
                <c:ptCount val="1"/>
                <c:pt idx="0">
                  <c:v>Sud</c:v>
                </c:pt>
              </c:strCache>
            </c:strRef>
          </c:tx>
          <c:marker>
            <c:symbol val="none"/>
          </c:marker>
          <c:cat>
            <c:strRef>
              <c:f>Feuille1!$A$7:$A$22</c:f>
              <c:strCache>
                <c:ptCount val="15"/>
                <c:pt idx="0">
                  <c:v>13/10</c:v>
                </c:pt>
                <c:pt idx="1">
                  <c:v>14/10</c:v>
                </c:pt>
                <c:pt idx="2">
                  <c:v>15/10</c:v>
                </c:pt>
                <c:pt idx="3">
                  <c:v>16/10</c:v>
                </c:pt>
                <c:pt idx="4">
                  <c:v>17/10</c:v>
                </c:pt>
                <c:pt idx="5">
                  <c:v>18/10</c:v>
                </c:pt>
                <c:pt idx="6">
                  <c:v>19/10</c:v>
                </c:pt>
                <c:pt idx="7">
                  <c:v>20/10</c:v>
                </c:pt>
                <c:pt idx="8">
                  <c:v>21/10</c:v>
                </c:pt>
                <c:pt idx="9">
                  <c:v>22/10</c:v>
                </c:pt>
                <c:pt idx="10">
                  <c:v>23/10</c:v>
                </c:pt>
                <c:pt idx="11">
                  <c:v>24/10</c:v>
                </c:pt>
                <c:pt idx="12">
                  <c:v>25/10</c:v>
                </c:pt>
                <c:pt idx="13">
                  <c:v>26/10</c:v>
                </c:pt>
                <c:pt idx="14">
                  <c:v>27/10</c:v>
                </c:pt>
              </c:strCache>
            </c:strRef>
          </c:cat>
          <c:val>
            <c:numRef>
              <c:f>Feuille1!$F$7:$F$22</c:f>
              <c:numCache>
                <c:formatCode>#\ ##0.0</c:formatCode>
                <c:ptCount val="15"/>
                <c:pt idx="0">
                  <c:v>83.7</c:v>
                </c:pt>
                <c:pt idx="1">
                  <c:v>85.2</c:v>
                </c:pt>
                <c:pt idx="2">
                  <c:v>85.2</c:v>
                </c:pt>
                <c:pt idx="3">
                  <c:v>101.8</c:v>
                </c:pt>
                <c:pt idx="4">
                  <c:v>105.2</c:v>
                </c:pt>
                <c:pt idx="5">
                  <c:v>103</c:v>
                </c:pt>
                <c:pt idx="6">
                  <c:v>82.7</c:v>
                </c:pt>
                <c:pt idx="7">
                  <c:v>98</c:v>
                </c:pt>
                <c:pt idx="8">
                  <c:v>96.4</c:v>
                </c:pt>
                <c:pt idx="9">
                  <c:v>93.4</c:v>
                </c:pt>
                <c:pt idx="10">
                  <c:v>100.2</c:v>
                </c:pt>
                <c:pt idx="11">
                  <c:v>86.7</c:v>
                </c:pt>
                <c:pt idx="12">
                  <c:v>95.6</c:v>
                </c:pt>
                <c:pt idx="13">
                  <c:v>106.3</c:v>
                </c:pt>
                <c:pt idx="14">
                  <c:v>108.3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109-4234-BA1E-5A48041861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59362032"/>
        <c:axId val="1659361072"/>
      </c:lineChart>
      <c:catAx>
        <c:axId val="1659362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659361072"/>
        <c:crosses val="autoZero"/>
        <c:auto val="1"/>
        <c:lblAlgn val="ctr"/>
        <c:lblOffset val="100"/>
        <c:noMultiLvlLbl val="0"/>
      </c:catAx>
      <c:valAx>
        <c:axId val="1659361072"/>
        <c:scaling>
          <c:orientation val="minMax"/>
        </c:scaling>
        <c:delete val="0"/>
        <c:axPos val="l"/>
        <c:majorGridlines/>
        <c:numFmt formatCode="#\ ##0.0" sourceLinked="1"/>
        <c:majorTickMark val="out"/>
        <c:minorTickMark val="none"/>
        <c:tickLblPos val="nextTo"/>
        <c:crossAx val="1659362032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4</xdr:row>
      <xdr:rowOff>6350</xdr:rowOff>
    </xdr:from>
    <xdr:to>
      <xdr:col>19</xdr:col>
      <xdr:colOff>504825</xdr:colOff>
      <xdr:row>25</xdr:row>
      <xdr:rowOff>15875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45D59CA7-3D1A-D7E4-6FD4-4E4C11AFF1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voust, Jules" refreshedDate="46322.395799421298" createdVersion="3" refreshedVersion="8" minRefreshableVersion="3" recordCount="75" xr:uid="{D6751564-16A4-4366-B9BB-6A1063102720}">
  <cacheSource type="worksheet">
    <worksheetSource name="tblDonnees"/>
  </cacheSource>
  <cacheFields count="5">
    <cacheField name="Date" numFmtId="14">
      <sharedItems containsSemiMixedTypes="0" containsNonDate="0" containsDate="1" containsString="0" minDate="2026-10-13T00:00:00" maxDate="2026-10-28T00:00:00" count="15">
        <d v="2026-10-13T00:00:00"/>
        <d v="2026-10-14T00:00:00"/>
        <d v="2026-10-15T00:00:00"/>
        <d v="2026-10-16T00:00:00"/>
        <d v="2026-10-17T00:00:00"/>
        <d v="2026-10-18T00:00:00"/>
        <d v="2026-10-19T00:00:00"/>
        <d v="2026-10-20T00:00:00"/>
        <d v="2026-10-21T00:00:00"/>
        <d v="2026-10-22T00:00:00"/>
        <d v="2026-10-23T00:00:00"/>
        <d v="2026-10-24T00:00:00"/>
        <d v="2026-10-25T00:00:00"/>
        <d v="2026-10-26T00:00:00"/>
        <d v="2026-10-27T00:00:00"/>
      </sharedItems>
    </cacheField>
    <cacheField name="Region" numFmtId="0">
      <sharedItems count="5">
        <s v="Nord"/>
        <s v="Sud"/>
        <s v="Est"/>
        <s v="Ouest"/>
        <s v="Centre"/>
      </sharedItems>
    </cacheField>
    <cacheField name="Volume_GWh" numFmtId="0">
      <sharedItems containsSemiMixedTypes="0" containsString="0" containsNumber="1" minValue="51.1" maxValue="137.9"/>
    </cacheField>
    <cacheField name="Temperature_C" numFmtId="0">
      <sharedItems containsSemiMixedTypes="0" containsString="0" containsNumber="1" minValue="2.1" maxValue="15.7"/>
    </cacheField>
    <cacheField name="Statu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">
  <r>
    <x v="0"/>
    <x v="0"/>
    <n v="126.5"/>
    <n v="11.1"/>
    <s v="Historique"/>
  </r>
  <r>
    <x v="0"/>
    <x v="1"/>
    <n v="83.7"/>
    <n v="3.8"/>
    <s v="Historique"/>
  </r>
  <r>
    <x v="0"/>
    <x v="2"/>
    <n v="88.4"/>
    <n v="2.5"/>
    <s v="Historique"/>
  </r>
  <r>
    <x v="0"/>
    <x v="3"/>
    <n v="73.5"/>
    <n v="14.9"/>
    <s v="Historique"/>
  </r>
  <r>
    <x v="0"/>
    <x v="4"/>
    <n v="67.5"/>
    <n v="2.1"/>
    <s v="Historique"/>
  </r>
  <r>
    <x v="1"/>
    <x v="0"/>
    <n v="105.6"/>
    <n v="4.3"/>
    <s v="Historique"/>
  </r>
  <r>
    <x v="1"/>
    <x v="1"/>
    <n v="85.2"/>
    <n v="15.7"/>
    <s v="Historique"/>
  </r>
  <r>
    <x v="1"/>
    <x v="2"/>
    <n v="78.400000000000006"/>
    <n v="4.2"/>
    <s v="Historique"/>
  </r>
  <r>
    <x v="1"/>
    <x v="3"/>
    <n v="75"/>
    <n v="8.3000000000000007"/>
    <s v="Historique"/>
  </r>
  <r>
    <x v="1"/>
    <x v="4"/>
    <n v="53.7"/>
    <n v="7.9"/>
    <s v="Historique"/>
  </r>
  <r>
    <x v="2"/>
    <x v="0"/>
    <n v="119.9"/>
    <n v="6"/>
    <s v="Historique"/>
  </r>
  <r>
    <x v="2"/>
    <x v="1"/>
    <n v="85.2"/>
    <n v="15.4"/>
    <s v="Historique"/>
  </r>
  <r>
    <x v="2"/>
    <x v="2"/>
    <n v="90.1"/>
    <n v="3.8"/>
    <s v="Historique"/>
  </r>
  <r>
    <x v="2"/>
    <x v="3"/>
    <n v="62"/>
    <n v="10.7"/>
    <s v="Historique"/>
  </r>
  <r>
    <x v="2"/>
    <x v="4"/>
    <n v="63.4"/>
    <n v="8.8000000000000007"/>
    <s v="Historique"/>
  </r>
  <r>
    <x v="3"/>
    <x v="0"/>
    <n v="137.1"/>
    <n v="2.4"/>
    <s v="Historique"/>
  </r>
  <r>
    <x v="3"/>
    <x v="1"/>
    <n v="101.8"/>
    <n v="13.9"/>
    <s v="Historique"/>
  </r>
  <r>
    <x v="3"/>
    <x v="2"/>
    <n v="83.4"/>
    <n v="9.5"/>
    <s v="Historique"/>
  </r>
  <r>
    <x v="3"/>
    <x v="3"/>
    <n v="75.599999999999994"/>
    <n v="10.8"/>
    <s v="Historique"/>
  </r>
  <r>
    <x v="3"/>
    <x v="4"/>
    <n v="64.8"/>
    <n v="11.9"/>
    <s v="Historique"/>
  </r>
  <r>
    <x v="4"/>
    <x v="0"/>
    <n v="112.4"/>
    <n v="13.4"/>
    <s v="Historique"/>
  </r>
  <r>
    <x v="4"/>
    <x v="1"/>
    <n v="105.2"/>
    <n v="12.4"/>
    <s v="Historique"/>
  </r>
  <r>
    <x v="4"/>
    <x v="2"/>
    <n v="84.1"/>
    <n v="9.8000000000000007"/>
    <s v="Historique"/>
  </r>
  <r>
    <x v="4"/>
    <x v="3"/>
    <n v="64.7"/>
    <n v="15.5"/>
    <s v="Historique"/>
  </r>
  <r>
    <x v="4"/>
    <x v="4"/>
    <n v="65"/>
    <n v="7.1"/>
    <s v="Historique"/>
  </r>
  <r>
    <x v="5"/>
    <x v="0"/>
    <n v="125"/>
    <n v="5.2"/>
    <s v="Historique"/>
  </r>
  <r>
    <x v="5"/>
    <x v="1"/>
    <n v="103"/>
    <n v="15.7"/>
    <s v="Historique"/>
  </r>
  <r>
    <x v="5"/>
    <x v="2"/>
    <n v="91"/>
    <n v="11.5"/>
    <s v="Historique"/>
  </r>
  <r>
    <x v="5"/>
    <x v="3"/>
    <n v="71.5"/>
    <n v="7"/>
    <s v="Historique"/>
  </r>
  <r>
    <x v="5"/>
    <x v="4"/>
    <n v="57.9"/>
    <n v="3.1"/>
    <s v="Historique"/>
  </r>
  <r>
    <x v="6"/>
    <x v="0"/>
    <n v="133.5"/>
    <n v="8.1999999999999993"/>
    <s v="Historique"/>
  </r>
  <r>
    <x v="6"/>
    <x v="1"/>
    <n v="82.7"/>
    <n v="5.3"/>
    <s v="Historique"/>
  </r>
  <r>
    <x v="6"/>
    <x v="2"/>
    <n v="82.6"/>
    <n v="10.199999999999999"/>
    <s v="Historique"/>
  </r>
  <r>
    <x v="6"/>
    <x v="3"/>
    <n v="62.9"/>
    <n v="3.9"/>
    <s v="Historique"/>
  </r>
  <r>
    <x v="6"/>
    <x v="4"/>
    <n v="58"/>
    <n v="10.1"/>
    <s v="Historique"/>
  </r>
  <r>
    <x v="7"/>
    <x v="0"/>
    <n v="102.1"/>
    <n v="14.6"/>
    <s v="Historique"/>
  </r>
  <r>
    <x v="7"/>
    <x v="1"/>
    <n v="98"/>
    <n v="13.8"/>
    <s v="Historique"/>
  </r>
  <r>
    <x v="7"/>
    <x v="2"/>
    <n v="83.7"/>
    <n v="2.6"/>
    <s v="Historique"/>
  </r>
  <r>
    <x v="7"/>
    <x v="3"/>
    <n v="64.5"/>
    <n v="10.5"/>
    <s v="Historique"/>
  </r>
  <r>
    <x v="7"/>
    <x v="4"/>
    <n v="68.7"/>
    <n v="10.199999999999999"/>
    <s v="Historique"/>
  </r>
  <r>
    <x v="8"/>
    <x v="0"/>
    <n v="111"/>
    <n v="4.5"/>
    <s v="Historique"/>
  </r>
  <r>
    <x v="8"/>
    <x v="1"/>
    <n v="96.4"/>
    <n v="4.3"/>
    <s v="Historique"/>
  </r>
  <r>
    <x v="8"/>
    <x v="2"/>
    <n v="75.599999999999994"/>
    <n v="4.8"/>
    <s v="Historique"/>
  </r>
  <r>
    <x v="8"/>
    <x v="3"/>
    <n v="70.599999999999994"/>
    <n v="6.7"/>
    <s v="Historique"/>
  </r>
  <r>
    <x v="8"/>
    <x v="4"/>
    <n v="58.3"/>
    <n v="4"/>
    <s v="Historique"/>
  </r>
  <r>
    <x v="9"/>
    <x v="0"/>
    <n v="137.9"/>
    <n v="14.4"/>
    <s v="Historique"/>
  </r>
  <r>
    <x v="9"/>
    <x v="1"/>
    <n v="93.4"/>
    <n v="6.2"/>
    <s v="Historique"/>
  </r>
  <r>
    <x v="9"/>
    <x v="2"/>
    <n v="70.3"/>
    <n v="11.7"/>
    <s v="Historique"/>
  </r>
  <r>
    <x v="9"/>
    <x v="3"/>
    <n v="76.599999999999994"/>
    <n v="10.7"/>
    <s v="Historique"/>
  </r>
  <r>
    <x v="9"/>
    <x v="4"/>
    <n v="66.900000000000006"/>
    <n v="5.3"/>
    <s v="Historique"/>
  </r>
  <r>
    <x v="10"/>
    <x v="0"/>
    <n v="135.6"/>
    <n v="7.7"/>
    <s v="Historique"/>
  </r>
  <r>
    <x v="10"/>
    <x v="1"/>
    <n v="100.2"/>
    <n v="2.5"/>
    <s v="Historique"/>
  </r>
  <r>
    <x v="10"/>
    <x v="2"/>
    <n v="80"/>
    <n v="4.5999999999999996"/>
    <s v="Historique"/>
  </r>
  <r>
    <x v="10"/>
    <x v="3"/>
    <n v="63.5"/>
    <n v="2.2999999999999998"/>
    <s v="Historique"/>
  </r>
  <r>
    <x v="10"/>
    <x v="4"/>
    <n v="64.5"/>
    <n v="8.4"/>
    <s v="Historique"/>
  </r>
  <r>
    <x v="11"/>
    <x v="0"/>
    <n v="137.1"/>
    <n v="8.6"/>
    <s v="Historique"/>
  </r>
  <r>
    <x v="11"/>
    <x v="1"/>
    <n v="86.7"/>
    <n v="12.5"/>
    <s v="Historique"/>
  </r>
  <r>
    <x v="11"/>
    <x v="2"/>
    <n v="77.400000000000006"/>
    <n v="4"/>
    <s v="Historique"/>
  </r>
  <r>
    <x v="11"/>
    <x v="3"/>
    <n v="79.900000000000006"/>
    <n v="12.8"/>
    <s v="Historique"/>
  </r>
  <r>
    <x v="11"/>
    <x v="4"/>
    <n v="53.2"/>
    <n v="7.8"/>
    <s v="Historique"/>
  </r>
  <r>
    <x v="12"/>
    <x v="0"/>
    <n v="137.69999999999999"/>
    <n v="4.4000000000000004"/>
    <s v="Historique"/>
  </r>
  <r>
    <x v="12"/>
    <x v="1"/>
    <n v="95.6"/>
    <n v="15.6"/>
    <s v="Historique"/>
  </r>
  <r>
    <x v="12"/>
    <x v="2"/>
    <n v="79.2"/>
    <n v="5.3"/>
    <s v="Historique"/>
  </r>
  <r>
    <x v="12"/>
    <x v="3"/>
    <n v="67"/>
    <n v="4.5"/>
    <s v="Historique"/>
  </r>
  <r>
    <x v="12"/>
    <x v="4"/>
    <n v="51.1"/>
    <n v="5.8"/>
    <s v="Historique"/>
  </r>
  <r>
    <x v="13"/>
    <x v="0"/>
    <n v="109.1"/>
    <n v="11"/>
    <s v="Historique"/>
  </r>
  <r>
    <x v="13"/>
    <x v="1"/>
    <n v="106.3"/>
    <n v="4.9000000000000004"/>
    <s v="Historique"/>
  </r>
  <r>
    <x v="13"/>
    <x v="2"/>
    <n v="85.2"/>
    <n v="13"/>
    <s v="Historique"/>
  </r>
  <r>
    <x v="13"/>
    <x v="3"/>
    <n v="74.5"/>
    <n v="10.1"/>
    <s v="Historique"/>
  </r>
  <r>
    <x v="13"/>
    <x v="4"/>
    <n v="55.4"/>
    <n v="5.6"/>
    <s v="Historique"/>
  </r>
  <r>
    <x v="14"/>
    <x v="0"/>
    <n v="135.80000000000001"/>
    <n v="13.2"/>
    <s v="Phase de test"/>
  </r>
  <r>
    <x v="14"/>
    <x v="1"/>
    <n v="108.3"/>
    <n v="11.3"/>
    <s v="Phase de test"/>
  </r>
  <r>
    <x v="14"/>
    <x v="2"/>
    <n v="78.7"/>
    <n v="4.9000000000000004"/>
    <s v="Phase de test"/>
  </r>
  <r>
    <x v="14"/>
    <x v="3"/>
    <n v="76"/>
    <n v="5.6"/>
    <s v="Phase de test"/>
  </r>
  <r>
    <x v="14"/>
    <x v="4"/>
    <n v="68.3"/>
    <n v="14.8"/>
    <s v="Phase de tes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0ECFC8-3FF1-4D36-AED9-7AE8E6C020F0}" name="TCD_Volume" cacheId="4" applyNumberFormats="0" applyBorderFormats="0" applyFontFormats="0" applyPatternFormats="0" applyAlignmentFormats="0" applyWidthHeightFormats="1" dataCaption="Valeurs" updatedVersion="8" minRefreshableVersion="3" showCalcMbrs="0" useAutoFormatting="1" itemPrintTitles="1" createdVersion="3" indent="0" outline="1" outlineData="1" multipleFieldFilters="0" chartFormat="1">
  <location ref="A5:G22" firstHeaderRow="1" firstDataRow="2" firstDataCol="1"/>
  <pivotFields count="5">
    <pivotField axis="axisRow" numFmtId="167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axis="axisCol" showAll="0">
      <items count="6">
        <item x="4"/>
        <item x="2"/>
        <item x="0"/>
        <item x="3"/>
        <item x="1"/>
        <item t="default"/>
      </items>
    </pivotField>
    <pivotField dataField="1" showAll="0"/>
    <pivotField showAll="0"/>
    <pivotField showAll="0"/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Volume (GWh)" fld="2" baseField="0" baseItem="0" numFmtId="166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Donnees" displayName="tblDonnees" ref="A1:E76">
  <autoFilter ref="A1:E76" xr:uid="{00000000-0009-0000-0100-000001000000}">
    <filterColumn colId="1">
      <filters>
        <filter val="Nord"/>
      </filters>
    </filterColumn>
  </autoFilter>
  <tableColumns count="5">
    <tableColumn id="1" xr3:uid="{00000000-0010-0000-0000-000001000000}" name="Date"/>
    <tableColumn id="2" xr3:uid="{00000000-0010-0000-0000-000002000000}" name="Region"/>
    <tableColumn id="3" xr3:uid="{00000000-0010-0000-0000-000003000000}" name="Volume_GWh"/>
    <tableColumn id="4" xr3:uid="{00000000-0010-0000-0000-000004000000}" name="Temperature_C"/>
    <tableColumn id="5" xr3:uid="{00000000-0010-0000-0000-000005000000}" name="Statu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8.7265625"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6"/>
  <sheetViews>
    <sheetView workbookViewId="0"/>
  </sheetViews>
  <sheetFormatPr baseColWidth="10" defaultColWidth="8.7265625" defaultRowHeight="14.5" x14ac:dyDescent="0.35"/>
  <cols>
    <col min="1" max="1" width="10.453125" style="1" bestFit="1" customWidth="1"/>
    <col min="2" max="2" width="9.08984375" bestFit="1" customWidth="1"/>
    <col min="3" max="3" width="15.26953125" bestFit="1" customWidth="1"/>
    <col min="4" max="4" width="16.36328125" bestFit="1" customWidth="1"/>
    <col min="5" max="5" width="12.26953125" bestFit="1" customWidth="1"/>
  </cols>
  <sheetData>
    <row r="1" spans="1:5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1">
        <v>46308</v>
      </c>
      <c r="B2" t="s">
        <v>5</v>
      </c>
      <c r="C2">
        <v>126.5</v>
      </c>
      <c r="D2">
        <v>11.1</v>
      </c>
      <c r="E2" t="s">
        <v>6</v>
      </c>
    </row>
    <row r="3" spans="1:5" hidden="1" x14ac:dyDescent="0.35">
      <c r="A3" s="1">
        <v>46308</v>
      </c>
      <c r="B3" t="s">
        <v>7</v>
      </c>
      <c r="C3">
        <v>83.7</v>
      </c>
      <c r="D3">
        <v>3.8</v>
      </c>
      <c r="E3" t="s">
        <v>6</v>
      </c>
    </row>
    <row r="4" spans="1:5" hidden="1" x14ac:dyDescent="0.35">
      <c r="A4" s="1">
        <v>46308</v>
      </c>
      <c r="B4" t="s">
        <v>8</v>
      </c>
      <c r="C4">
        <v>88.4</v>
      </c>
      <c r="D4">
        <v>2.5</v>
      </c>
      <c r="E4" t="s">
        <v>6</v>
      </c>
    </row>
    <row r="5" spans="1:5" hidden="1" x14ac:dyDescent="0.35">
      <c r="A5" s="1">
        <v>46308</v>
      </c>
      <c r="B5" t="s">
        <v>9</v>
      </c>
      <c r="C5">
        <v>73.5</v>
      </c>
      <c r="D5">
        <v>14.9</v>
      </c>
      <c r="E5" t="s">
        <v>6</v>
      </c>
    </row>
    <row r="6" spans="1:5" hidden="1" x14ac:dyDescent="0.35">
      <c r="A6" s="1">
        <v>46308</v>
      </c>
      <c r="B6" t="s">
        <v>10</v>
      </c>
      <c r="C6">
        <v>67.5</v>
      </c>
      <c r="D6">
        <v>2.1</v>
      </c>
      <c r="E6" t="s">
        <v>6</v>
      </c>
    </row>
    <row r="7" spans="1:5" x14ac:dyDescent="0.35">
      <c r="A7" s="1">
        <v>46309</v>
      </c>
      <c r="B7" t="s">
        <v>5</v>
      </c>
      <c r="C7">
        <v>105.6</v>
      </c>
      <c r="D7">
        <v>4.3</v>
      </c>
      <c r="E7" t="s">
        <v>6</v>
      </c>
    </row>
    <row r="8" spans="1:5" hidden="1" x14ac:dyDescent="0.35">
      <c r="A8" s="1">
        <v>46309</v>
      </c>
      <c r="B8" t="s">
        <v>7</v>
      </c>
      <c r="C8">
        <v>85.2</v>
      </c>
      <c r="D8">
        <v>15.7</v>
      </c>
      <c r="E8" t="s">
        <v>6</v>
      </c>
    </row>
    <row r="9" spans="1:5" hidden="1" x14ac:dyDescent="0.35">
      <c r="A9" s="1">
        <v>46309</v>
      </c>
      <c r="B9" t="s">
        <v>8</v>
      </c>
      <c r="C9">
        <v>78.400000000000006</v>
      </c>
      <c r="D9">
        <v>4.2</v>
      </c>
      <c r="E9" t="s">
        <v>6</v>
      </c>
    </row>
    <row r="10" spans="1:5" hidden="1" x14ac:dyDescent="0.35">
      <c r="A10" s="1">
        <v>46309</v>
      </c>
      <c r="B10" t="s">
        <v>9</v>
      </c>
      <c r="C10">
        <v>75</v>
      </c>
      <c r="D10">
        <v>8.3000000000000007</v>
      </c>
      <c r="E10" t="s">
        <v>6</v>
      </c>
    </row>
    <row r="11" spans="1:5" hidden="1" x14ac:dyDescent="0.35">
      <c r="A11" s="1">
        <v>46309</v>
      </c>
      <c r="B11" t="s">
        <v>10</v>
      </c>
      <c r="C11">
        <v>53.7</v>
      </c>
      <c r="D11">
        <v>7.9</v>
      </c>
      <c r="E11" t="s">
        <v>6</v>
      </c>
    </row>
    <row r="12" spans="1:5" x14ac:dyDescent="0.35">
      <c r="A12" s="1">
        <v>46310</v>
      </c>
      <c r="B12" t="s">
        <v>5</v>
      </c>
      <c r="C12">
        <v>119.9</v>
      </c>
      <c r="D12">
        <v>6</v>
      </c>
      <c r="E12" t="s">
        <v>6</v>
      </c>
    </row>
    <row r="13" spans="1:5" hidden="1" x14ac:dyDescent="0.35">
      <c r="A13" s="1">
        <v>46310</v>
      </c>
      <c r="B13" t="s">
        <v>7</v>
      </c>
      <c r="C13">
        <v>85.2</v>
      </c>
      <c r="D13">
        <v>15.4</v>
      </c>
      <c r="E13" t="s">
        <v>6</v>
      </c>
    </row>
    <row r="14" spans="1:5" hidden="1" x14ac:dyDescent="0.35">
      <c r="A14" s="1">
        <v>46310</v>
      </c>
      <c r="B14" t="s">
        <v>8</v>
      </c>
      <c r="C14">
        <v>90.1</v>
      </c>
      <c r="D14">
        <v>3.8</v>
      </c>
      <c r="E14" t="s">
        <v>6</v>
      </c>
    </row>
    <row r="15" spans="1:5" hidden="1" x14ac:dyDescent="0.35">
      <c r="A15" s="1">
        <v>46310</v>
      </c>
      <c r="B15" t="s">
        <v>9</v>
      </c>
      <c r="C15">
        <v>62</v>
      </c>
      <c r="D15">
        <v>10.7</v>
      </c>
      <c r="E15" t="s">
        <v>6</v>
      </c>
    </row>
    <row r="16" spans="1:5" hidden="1" x14ac:dyDescent="0.35">
      <c r="A16" s="1">
        <v>46310</v>
      </c>
      <c r="B16" t="s">
        <v>10</v>
      </c>
      <c r="C16">
        <v>63.4</v>
      </c>
      <c r="D16">
        <v>8.8000000000000007</v>
      </c>
      <c r="E16" t="s">
        <v>6</v>
      </c>
    </row>
    <row r="17" spans="1:5" x14ac:dyDescent="0.35">
      <c r="A17" s="1">
        <v>46311</v>
      </c>
      <c r="B17" t="s">
        <v>5</v>
      </c>
      <c r="C17">
        <v>137.1</v>
      </c>
      <c r="D17">
        <v>2.4</v>
      </c>
      <c r="E17" t="s">
        <v>6</v>
      </c>
    </row>
    <row r="18" spans="1:5" hidden="1" x14ac:dyDescent="0.35">
      <c r="A18" s="1">
        <v>46311</v>
      </c>
      <c r="B18" t="s">
        <v>7</v>
      </c>
      <c r="C18">
        <v>101.8</v>
      </c>
      <c r="D18">
        <v>13.9</v>
      </c>
      <c r="E18" t="s">
        <v>6</v>
      </c>
    </row>
    <row r="19" spans="1:5" hidden="1" x14ac:dyDescent="0.35">
      <c r="A19" s="1">
        <v>46311</v>
      </c>
      <c r="B19" t="s">
        <v>8</v>
      </c>
      <c r="C19">
        <v>83.4</v>
      </c>
      <c r="D19">
        <v>9.5</v>
      </c>
      <c r="E19" t="s">
        <v>6</v>
      </c>
    </row>
    <row r="20" spans="1:5" hidden="1" x14ac:dyDescent="0.35">
      <c r="A20" s="1">
        <v>46311</v>
      </c>
      <c r="B20" t="s">
        <v>9</v>
      </c>
      <c r="C20">
        <v>75.599999999999994</v>
      </c>
      <c r="D20">
        <v>10.8</v>
      </c>
      <c r="E20" t="s">
        <v>6</v>
      </c>
    </row>
    <row r="21" spans="1:5" hidden="1" x14ac:dyDescent="0.35">
      <c r="A21" s="1">
        <v>46311</v>
      </c>
      <c r="B21" t="s">
        <v>10</v>
      </c>
      <c r="C21">
        <v>64.8</v>
      </c>
      <c r="D21">
        <v>11.9</v>
      </c>
      <c r="E21" t="s">
        <v>6</v>
      </c>
    </row>
    <row r="22" spans="1:5" x14ac:dyDescent="0.35">
      <c r="A22" s="1">
        <v>46312</v>
      </c>
      <c r="B22" t="s">
        <v>5</v>
      </c>
      <c r="C22">
        <v>112.4</v>
      </c>
      <c r="D22">
        <v>13.4</v>
      </c>
      <c r="E22" t="s">
        <v>6</v>
      </c>
    </row>
    <row r="23" spans="1:5" hidden="1" x14ac:dyDescent="0.35">
      <c r="A23" s="1">
        <v>46312</v>
      </c>
      <c r="B23" t="s">
        <v>7</v>
      </c>
      <c r="C23">
        <v>105.2</v>
      </c>
      <c r="D23">
        <v>12.4</v>
      </c>
      <c r="E23" t="s">
        <v>6</v>
      </c>
    </row>
    <row r="24" spans="1:5" hidden="1" x14ac:dyDescent="0.35">
      <c r="A24" s="1">
        <v>46312</v>
      </c>
      <c r="B24" t="s">
        <v>8</v>
      </c>
      <c r="C24">
        <v>84.1</v>
      </c>
      <c r="D24">
        <v>9.8000000000000007</v>
      </c>
      <c r="E24" t="s">
        <v>6</v>
      </c>
    </row>
    <row r="25" spans="1:5" hidden="1" x14ac:dyDescent="0.35">
      <c r="A25" s="1">
        <v>46312</v>
      </c>
      <c r="B25" t="s">
        <v>9</v>
      </c>
      <c r="C25">
        <v>64.7</v>
      </c>
      <c r="D25">
        <v>15.5</v>
      </c>
      <c r="E25" t="s">
        <v>6</v>
      </c>
    </row>
    <row r="26" spans="1:5" hidden="1" x14ac:dyDescent="0.35">
      <c r="A26" s="1">
        <v>46312</v>
      </c>
      <c r="B26" t="s">
        <v>10</v>
      </c>
      <c r="C26">
        <v>65</v>
      </c>
      <c r="D26">
        <v>7.1</v>
      </c>
      <c r="E26" t="s">
        <v>6</v>
      </c>
    </row>
    <row r="27" spans="1:5" x14ac:dyDescent="0.35">
      <c r="A27" s="1">
        <v>46313</v>
      </c>
      <c r="B27" t="s">
        <v>5</v>
      </c>
      <c r="C27">
        <v>125</v>
      </c>
      <c r="D27">
        <v>5.2</v>
      </c>
      <c r="E27" t="s">
        <v>6</v>
      </c>
    </row>
    <row r="28" spans="1:5" hidden="1" x14ac:dyDescent="0.35">
      <c r="A28" s="1">
        <v>46313</v>
      </c>
      <c r="B28" t="s">
        <v>7</v>
      </c>
      <c r="C28">
        <v>103</v>
      </c>
      <c r="D28">
        <v>15.7</v>
      </c>
      <c r="E28" t="s">
        <v>6</v>
      </c>
    </row>
    <row r="29" spans="1:5" hidden="1" x14ac:dyDescent="0.35">
      <c r="A29" s="1">
        <v>46313</v>
      </c>
      <c r="B29" t="s">
        <v>8</v>
      </c>
      <c r="C29">
        <v>91</v>
      </c>
      <c r="D29">
        <v>11.5</v>
      </c>
      <c r="E29" t="s">
        <v>6</v>
      </c>
    </row>
    <row r="30" spans="1:5" hidden="1" x14ac:dyDescent="0.35">
      <c r="A30" s="1">
        <v>46313</v>
      </c>
      <c r="B30" t="s">
        <v>9</v>
      </c>
      <c r="C30">
        <v>71.5</v>
      </c>
      <c r="D30">
        <v>7</v>
      </c>
      <c r="E30" t="s">
        <v>6</v>
      </c>
    </row>
    <row r="31" spans="1:5" hidden="1" x14ac:dyDescent="0.35">
      <c r="A31" s="1">
        <v>46313</v>
      </c>
      <c r="B31" t="s">
        <v>10</v>
      </c>
      <c r="C31">
        <v>57.9</v>
      </c>
      <c r="D31">
        <v>3.1</v>
      </c>
      <c r="E31" t="s">
        <v>6</v>
      </c>
    </row>
    <row r="32" spans="1:5" x14ac:dyDescent="0.35">
      <c r="A32" s="1">
        <v>46314</v>
      </c>
      <c r="B32" t="s">
        <v>5</v>
      </c>
      <c r="C32">
        <v>133.5</v>
      </c>
      <c r="D32">
        <v>8.1999999999999993</v>
      </c>
      <c r="E32" t="s">
        <v>6</v>
      </c>
    </row>
    <row r="33" spans="1:5" hidden="1" x14ac:dyDescent="0.35">
      <c r="A33" s="1">
        <v>46314</v>
      </c>
      <c r="B33" t="s">
        <v>7</v>
      </c>
      <c r="C33">
        <v>82.7</v>
      </c>
      <c r="D33">
        <v>5.3</v>
      </c>
      <c r="E33" t="s">
        <v>6</v>
      </c>
    </row>
    <row r="34" spans="1:5" hidden="1" x14ac:dyDescent="0.35">
      <c r="A34" s="1">
        <v>46314</v>
      </c>
      <c r="B34" t="s">
        <v>8</v>
      </c>
      <c r="C34">
        <v>82.6</v>
      </c>
      <c r="D34">
        <v>10.199999999999999</v>
      </c>
      <c r="E34" t="s">
        <v>6</v>
      </c>
    </row>
    <row r="35" spans="1:5" hidden="1" x14ac:dyDescent="0.35">
      <c r="A35" s="1">
        <v>46314</v>
      </c>
      <c r="B35" t="s">
        <v>9</v>
      </c>
      <c r="C35">
        <v>62.9</v>
      </c>
      <c r="D35">
        <v>3.9</v>
      </c>
      <c r="E35" t="s">
        <v>6</v>
      </c>
    </row>
    <row r="36" spans="1:5" hidden="1" x14ac:dyDescent="0.35">
      <c r="A36" s="1">
        <v>46314</v>
      </c>
      <c r="B36" t="s">
        <v>10</v>
      </c>
      <c r="C36">
        <v>58</v>
      </c>
      <c r="D36">
        <v>10.1</v>
      </c>
      <c r="E36" t="s">
        <v>6</v>
      </c>
    </row>
    <row r="37" spans="1:5" x14ac:dyDescent="0.35">
      <c r="A37" s="1">
        <v>46315</v>
      </c>
      <c r="B37" t="s">
        <v>5</v>
      </c>
      <c r="C37">
        <v>102.1</v>
      </c>
      <c r="D37">
        <v>14.6</v>
      </c>
      <c r="E37" t="s">
        <v>6</v>
      </c>
    </row>
    <row r="38" spans="1:5" hidden="1" x14ac:dyDescent="0.35">
      <c r="A38" s="1">
        <v>46315</v>
      </c>
      <c r="B38" t="s">
        <v>7</v>
      </c>
      <c r="C38">
        <v>98</v>
      </c>
      <c r="D38">
        <v>13.8</v>
      </c>
      <c r="E38" t="s">
        <v>6</v>
      </c>
    </row>
    <row r="39" spans="1:5" hidden="1" x14ac:dyDescent="0.35">
      <c r="A39" s="1">
        <v>46315</v>
      </c>
      <c r="B39" t="s">
        <v>8</v>
      </c>
      <c r="C39">
        <v>83.7</v>
      </c>
      <c r="D39">
        <v>2.6</v>
      </c>
      <c r="E39" t="s">
        <v>6</v>
      </c>
    </row>
    <row r="40" spans="1:5" hidden="1" x14ac:dyDescent="0.35">
      <c r="A40" s="1">
        <v>46315</v>
      </c>
      <c r="B40" t="s">
        <v>9</v>
      </c>
      <c r="C40">
        <v>64.5</v>
      </c>
      <c r="D40">
        <v>10.5</v>
      </c>
      <c r="E40" t="s">
        <v>6</v>
      </c>
    </row>
    <row r="41" spans="1:5" hidden="1" x14ac:dyDescent="0.35">
      <c r="A41" s="1">
        <v>46315</v>
      </c>
      <c r="B41" t="s">
        <v>10</v>
      </c>
      <c r="C41">
        <v>68.7</v>
      </c>
      <c r="D41">
        <v>10.199999999999999</v>
      </c>
      <c r="E41" t="s">
        <v>6</v>
      </c>
    </row>
    <row r="42" spans="1:5" x14ac:dyDescent="0.35">
      <c r="A42" s="1">
        <v>46316</v>
      </c>
      <c r="B42" t="s">
        <v>5</v>
      </c>
      <c r="C42">
        <v>111</v>
      </c>
      <c r="D42">
        <v>4.5</v>
      </c>
      <c r="E42" t="s">
        <v>6</v>
      </c>
    </row>
    <row r="43" spans="1:5" hidden="1" x14ac:dyDescent="0.35">
      <c r="A43" s="1">
        <v>46316</v>
      </c>
      <c r="B43" t="s">
        <v>7</v>
      </c>
      <c r="C43">
        <v>96.4</v>
      </c>
      <c r="D43">
        <v>4.3</v>
      </c>
      <c r="E43" t="s">
        <v>6</v>
      </c>
    </row>
    <row r="44" spans="1:5" hidden="1" x14ac:dyDescent="0.35">
      <c r="A44" s="1">
        <v>46316</v>
      </c>
      <c r="B44" t="s">
        <v>8</v>
      </c>
      <c r="C44">
        <v>75.599999999999994</v>
      </c>
      <c r="D44">
        <v>4.8</v>
      </c>
      <c r="E44" t="s">
        <v>6</v>
      </c>
    </row>
    <row r="45" spans="1:5" hidden="1" x14ac:dyDescent="0.35">
      <c r="A45" s="1">
        <v>46316</v>
      </c>
      <c r="B45" t="s">
        <v>9</v>
      </c>
      <c r="C45">
        <v>70.599999999999994</v>
      </c>
      <c r="D45">
        <v>6.7</v>
      </c>
      <c r="E45" t="s">
        <v>6</v>
      </c>
    </row>
    <row r="46" spans="1:5" hidden="1" x14ac:dyDescent="0.35">
      <c r="A46" s="1">
        <v>46316</v>
      </c>
      <c r="B46" t="s">
        <v>10</v>
      </c>
      <c r="C46">
        <v>58.3</v>
      </c>
      <c r="D46">
        <v>4</v>
      </c>
      <c r="E46" t="s">
        <v>6</v>
      </c>
    </row>
    <row r="47" spans="1:5" x14ac:dyDescent="0.35">
      <c r="A47" s="1">
        <v>46317</v>
      </c>
      <c r="B47" t="s">
        <v>5</v>
      </c>
      <c r="C47">
        <v>137.9</v>
      </c>
      <c r="D47">
        <v>14.4</v>
      </c>
      <c r="E47" t="s">
        <v>6</v>
      </c>
    </row>
    <row r="48" spans="1:5" hidden="1" x14ac:dyDescent="0.35">
      <c r="A48" s="1">
        <v>46317</v>
      </c>
      <c r="B48" t="s">
        <v>7</v>
      </c>
      <c r="C48">
        <v>93.4</v>
      </c>
      <c r="D48">
        <v>6.2</v>
      </c>
      <c r="E48" t="s">
        <v>6</v>
      </c>
    </row>
    <row r="49" spans="1:5" hidden="1" x14ac:dyDescent="0.35">
      <c r="A49" s="1">
        <v>46317</v>
      </c>
      <c r="B49" t="s">
        <v>8</v>
      </c>
      <c r="C49">
        <v>70.3</v>
      </c>
      <c r="D49">
        <v>11.7</v>
      </c>
      <c r="E49" t="s">
        <v>6</v>
      </c>
    </row>
    <row r="50" spans="1:5" hidden="1" x14ac:dyDescent="0.35">
      <c r="A50" s="1">
        <v>46317</v>
      </c>
      <c r="B50" t="s">
        <v>9</v>
      </c>
      <c r="C50">
        <v>76.599999999999994</v>
      </c>
      <c r="D50">
        <v>10.7</v>
      </c>
      <c r="E50" t="s">
        <v>6</v>
      </c>
    </row>
    <row r="51" spans="1:5" hidden="1" x14ac:dyDescent="0.35">
      <c r="A51" s="1">
        <v>46317</v>
      </c>
      <c r="B51" t="s">
        <v>10</v>
      </c>
      <c r="C51">
        <v>66.900000000000006</v>
      </c>
      <c r="D51">
        <v>5.3</v>
      </c>
      <c r="E51" t="s">
        <v>6</v>
      </c>
    </row>
    <row r="52" spans="1:5" x14ac:dyDescent="0.35">
      <c r="A52" s="1">
        <v>46318</v>
      </c>
      <c r="B52" t="s">
        <v>5</v>
      </c>
      <c r="C52">
        <v>135.6</v>
      </c>
      <c r="D52">
        <v>7.7</v>
      </c>
      <c r="E52" t="s">
        <v>6</v>
      </c>
    </row>
    <row r="53" spans="1:5" hidden="1" x14ac:dyDescent="0.35">
      <c r="A53" s="1">
        <v>46318</v>
      </c>
      <c r="B53" t="s">
        <v>7</v>
      </c>
      <c r="C53">
        <v>100.2</v>
      </c>
      <c r="D53">
        <v>2.5</v>
      </c>
      <c r="E53" t="s">
        <v>6</v>
      </c>
    </row>
    <row r="54" spans="1:5" hidden="1" x14ac:dyDescent="0.35">
      <c r="A54" s="1">
        <v>46318</v>
      </c>
      <c r="B54" t="s">
        <v>8</v>
      </c>
      <c r="C54">
        <v>80</v>
      </c>
      <c r="D54">
        <v>4.5999999999999996</v>
      </c>
      <c r="E54" t="s">
        <v>6</v>
      </c>
    </row>
    <row r="55" spans="1:5" hidden="1" x14ac:dyDescent="0.35">
      <c r="A55" s="1">
        <v>46318</v>
      </c>
      <c r="B55" t="s">
        <v>9</v>
      </c>
      <c r="C55">
        <v>63.5</v>
      </c>
      <c r="D55">
        <v>2.2999999999999998</v>
      </c>
      <c r="E55" t="s">
        <v>6</v>
      </c>
    </row>
    <row r="56" spans="1:5" hidden="1" x14ac:dyDescent="0.35">
      <c r="A56" s="1">
        <v>46318</v>
      </c>
      <c r="B56" t="s">
        <v>10</v>
      </c>
      <c r="C56">
        <v>64.5</v>
      </c>
      <c r="D56">
        <v>8.4</v>
      </c>
      <c r="E56" t="s">
        <v>6</v>
      </c>
    </row>
    <row r="57" spans="1:5" x14ac:dyDescent="0.35">
      <c r="A57" s="1">
        <v>46319</v>
      </c>
      <c r="B57" t="s">
        <v>5</v>
      </c>
      <c r="C57">
        <v>137.1</v>
      </c>
      <c r="D57">
        <v>8.6</v>
      </c>
      <c r="E57" t="s">
        <v>6</v>
      </c>
    </row>
    <row r="58" spans="1:5" hidden="1" x14ac:dyDescent="0.35">
      <c r="A58" s="1">
        <v>46319</v>
      </c>
      <c r="B58" t="s">
        <v>7</v>
      </c>
      <c r="C58">
        <v>86.7</v>
      </c>
      <c r="D58">
        <v>12.5</v>
      </c>
      <c r="E58" t="s">
        <v>6</v>
      </c>
    </row>
    <row r="59" spans="1:5" hidden="1" x14ac:dyDescent="0.35">
      <c r="A59" s="1">
        <v>46319</v>
      </c>
      <c r="B59" t="s">
        <v>8</v>
      </c>
      <c r="C59">
        <v>77.400000000000006</v>
      </c>
      <c r="D59">
        <v>4</v>
      </c>
      <c r="E59" t="s">
        <v>6</v>
      </c>
    </row>
    <row r="60" spans="1:5" hidden="1" x14ac:dyDescent="0.35">
      <c r="A60" s="1">
        <v>46319</v>
      </c>
      <c r="B60" t="s">
        <v>9</v>
      </c>
      <c r="C60">
        <v>79.900000000000006</v>
      </c>
      <c r="D60">
        <v>12.8</v>
      </c>
      <c r="E60" t="s">
        <v>6</v>
      </c>
    </row>
    <row r="61" spans="1:5" hidden="1" x14ac:dyDescent="0.35">
      <c r="A61" s="1">
        <v>46319</v>
      </c>
      <c r="B61" t="s">
        <v>10</v>
      </c>
      <c r="C61">
        <v>53.2</v>
      </c>
      <c r="D61">
        <v>7.8</v>
      </c>
      <c r="E61" t="s">
        <v>6</v>
      </c>
    </row>
    <row r="62" spans="1:5" x14ac:dyDescent="0.35">
      <c r="A62" s="1">
        <v>46320</v>
      </c>
      <c r="B62" t="s">
        <v>5</v>
      </c>
      <c r="C62">
        <v>137.69999999999999</v>
      </c>
      <c r="D62">
        <v>4.4000000000000004</v>
      </c>
      <c r="E62" t="s">
        <v>6</v>
      </c>
    </row>
    <row r="63" spans="1:5" hidden="1" x14ac:dyDescent="0.35">
      <c r="A63" s="1">
        <v>46320</v>
      </c>
      <c r="B63" t="s">
        <v>7</v>
      </c>
      <c r="C63">
        <v>95.6</v>
      </c>
      <c r="D63">
        <v>15.6</v>
      </c>
      <c r="E63" t="s">
        <v>6</v>
      </c>
    </row>
    <row r="64" spans="1:5" hidden="1" x14ac:dyDescent="0.35">
      <c r="A64" s="1">
        <v>46320</v>
      </c>
      <c r="B64" t="s">
        <v>8</v>
      </c>
      <c r="C64">
        <v>79.2</v>
      </c>
      <c r="D64">
        <v>5.3</v>
      </c>
      <c r="E64" t="s">
        <v>6</v>
      </c>
    </row>
    <row r="65" spans="1:5" hidden="1" x14ac:dyDescent="0.35">
      <c r="A65" s="1">
        <v>46320</v>
      </c>
      <c r="B65" t="s">
        <v>9</v>
      </c>
      <c r="C65">
        <v>67</v>
      </c>
      <c r="D65">
        <v>4.5</v>
      </c>
      <c r="E65" t="s">
        <v>6</v>
      </c>
    </row>
    <row r="66" spans="1:5" hidden="1" x14ac:dyDescent="0.35">
      <c r="A66" s="1">
        <v>46320</v>
      </c>
      <c r="B66" t="s">
        <v>10</v>
      </c>
      <c r="C66">
        <v>51.1</v>
      </c>
      <c r="D66">
        <v>5.8</v>
      </c>
      <c r="E66" t="s">
        <v>6</v>
      </c>
    </row>
    <row r="67" spans="1:5" x14ac:dyDescent="0.35">
      <c r="A67" s="1">
        <v>46321</v>
      </c>
      <c r="B67" t="s">
        <v>5</v>
      </c>
      <c r="C67">
        <v>109.1</v>
      </c>
      <c r="D67">
        <v>11</v>
      </c>
      <c r="E67" t="s">
        <v>6</v>
      </c>
    </row>
    <row r="68" spans="1:5" hidden="1" x14ac:dyDescent="0.35">
      <c r="A68" s="1">
        <v>46321</v>
      </c>
      <c r="B68" t="s">
        <v>7</v>
      </c>
      <c r="C68">
        <v>106.3</v>
      </c>
      <c r="D68">
        <v>4.9000000000000004</v>
      </c>
      <c r="E68" t="s">
        <v>6</v>
      </c>
    </row>
    <row r="69" spans="1:5" hidden="1" x14ac:dyDescent="0.35">
      <c r="A69" s="1">
        <v>46321</v>
      </c>
      <c r="B69" t="s">
        <v>8</v>
      </c>
      <c r="C69">
        <v>85.2</v>
      </c>
      <c r="D69">
        <v>13</v>
      </c>
      <c r="E69" t="s">
        <v>6</v>
      </c>
    </row>
    <row r="70" spans="1:5" hidden="1" x14ac:dyDescent="0.35">
      <c r="A70" s="1">
        <v>46321</v>
      </c>
      <c r="B70" t="s">
        <v>9</v>
      </c>
      <c r="C70">
        <v>74.5</v>
      </c>
      <c r="D70">
        <v>10.1</v>
      </c>
      <c r="E70" t="s">
        <v>6</v>
      </c>
    </row>
    <row r="71" spans="1:5" hidden="1" x14ac:dyDescent="0.35">
      <c r="A71" s="1">
        <v>46321</v>
      </c>
      <c r="B71" t="s">
        <v>10</v>
      </c>
      <c r="C71">
        <v>55.4</v>
      </c>
      <c r="D71">
        <v>5.6</v>
      </c>
      <c r="E71" t="s">
        <v>6</v>
      </c>
    </row>
    <row r="72" spans="1:5" x14ac:dyDescent="0.35">
      <c r="A72" s="1">
        <v>46322</v>
      </c>
      <c r="B72" t="s">
        <v>5</v>
      </c>
      <c r="C72">
        <v>135.80000000000001</v>
      </c>
      <c r="D72">
        <v>13.2</v>
      </c>
      <c r="E72" t="s">
        <v>11</v>
      </c>
    </row>
    <row r="73" spans="1:5" hidden="1" x14ac:dyDescent="0.35">
      <c r="A73" s="1">
        <v>46322</v>
      </c>
      <c r="B73" t="s">
        <v>7</v>
      </c>
      <c r="C73">
        <v>108.3</v>
      </c>
      <c r="D73">
        <v>11.3</v>
      </c>
      <c r="E73" t="s">
        <v>11</v>
      </c>
    </row>
    <row r="74" spans="1:5" hidden="1" x14ac:dyDescent="0.35">
      <c r="A74" s="1">
        <v>46322</v>
      </c>
      <c r="B74" t="s">
        <v>8</v>
      </c>
      <c r="C74">
        <v>78.7</v>
      </c>
      <c r="D74">
        <v>4.9000000000000004</v>
      </c>
      <c r="E74" t="s">
        <v>11</v>
      </c>
    </row>
    <row r="75" spans="1:5" hidden="1" x14ac:dyDescent="0.35">
      <c r="A75" s="1">
        <v>46322</v>
      </c>
      <c r="B75" t="s">
        <v>9</v>
      </c>
      <c r="C75">
        <v>76</v>
      </c>
      <c r="D75">
        <v>5.6</v>
      </c>
      <c r="E75" t="s">
        <v>11</v>
      </c>
    </row>
    <row r="76" spans="1:5" hidden="1" x14ac:dyDescent="0.35">
      <c r="A76" s="1">
        <v>46322</v>
      </c>
      <c r="B76" t="s">
        <v>10</v>
      </c>
      <c r="C76">
        <v>68.3</v>
      </c>
      <c r="D76">
        <v>14.8</v>
      </c>
      <c r="E76" t="s">
        <v>11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2"/>
  <sheetViews>
    <sheetView tabSelected="1" workbookViewId="0"/>
  </sheetViews>
  <sheetFormatPr baseColWidth="10" defaultColWidth="8.7265625" defaultRowHeight="14.5" x14ac:dyDescent="0.35"/>
  <cols>
    <col min="1" max="1" width="60.54296875" bestFit="1" customWidth="1"/>
    <col min="2" max="2" width="22.90625" bestFit="1" customWidth="1"/>
    <col min="3" max="3" width="6.81640625" bestFit="1" customWidth="1"/>
    <col min="4" max="4" width="20.54296875" bestFit="1" customWidth="1"/>
    <col min="5" max="6" width="6.81640625" bestFit="1" customWidth="1"/>
    <col min="7" max="7" width="12.26953125" bestFit="1" customWidth="1"/>
    <col min="8" max="8" width="5.1796875" bestFit="1" customWidth="1"/>
  </cols>
  <sheetData>
    <row r="1" spans="1:8" ht="18.5" x14ac:dyDescent="0.45">
      <c r="A1" s="2" t="s">
        <v>12</v>
      </c>
    </row>
    <row r="2" spans="1:8" x14ac:dyDescent="0.35">
      <c r="A2" s="3" t="s">
        <v>13</v>
      </c>
      <c r="B2" s="4">
        <f>SUM(tblDonnees[Volume_GWh])</f>
        <v>6500.5999999999995</v>
      </c>
      <c r="D2" s="3" t="s">
        <v>14</v>
      </c>
      <c r="E2" s="4">
        <f>SUM(tblDonnees[Volume_GWh])/SUMPRODUCT(1/COUNTIF(tblDonnees[Date],tblDonnees[Date]))</f>
        <v>433.3733333333339</v>
      </c>
      <c r="G2" s="3" t="s">
        <v>15</v>
      </c>
      <c r="H2" t="str">
        <f>INDEX(tblDonnees[Region],MATCH(MAX(tblDonnees[Volume_GWh]),tblDonnees[Volume_GWh],0))</f>
        <v>Nord</v>
      </c>
    </row>
    <row r="5" spans="1:8" x14ac:dyDescent="0.35">
      <c r="A5" s="6" t="s">
        <v>27</v>
      </c>
      <c r="B5" s="6" t="s">
        <v>26</v>
      </c>
    </row>
    <row r="6" spans="1:8" x14ac:dyDescent="0.35">
      <c r="A6" s="6" t="s">
        <v>24</v>
      </c>
      <c r="B6" t="s">
        <v>10</v>
      </c>
      <c r="C6" t="s">
        <v>8</v>
      </c>
      <c r="D6" t="s">
        <v>5</v>
      </c>
      <c r="E6" t="s">
        <v>9</v>
      </c>
      <c r="F6" t="s">
        <v>7</v>
      </c>
      <c r="G6" t="s">
        <v>25</v>
      </c>
    </row>
    <row r="7" spans="1:8" x14ac:dyDescent="0.35">
      <c r="A7" s="7">
        <v>46308</v>
      </c>
      <c r="B7" s="4">
        <v>67.5</v>
      </c>
      <c r="C7" s="4">
        <v>88.4</v>
      </c>
      <c r="D7" s="4">
        <v>126.5</v>
      </c>
      <c r="E7" s="4">
        <v>73.5</v>
      </c>
      <c r="F7" s="4">
        <v>83.7</v>
      </c>
      <c r="G7" s="4">
        <v>439.59999999999997</v>
      </c>
    </row>
    <row r="8" spans="1:8" x14ac:dyDescent="0.35">
      <c r="A8" s="7">
        <v>46309</v>
      </c>
      <c r="B8" s="4">
        <v>53.7</v>
      </c>
      <c r="C8" s="4">
        <v>78.400000000000006</v>
      </c>
      <c r="D8" s="4">
        <v>105.6</v>
      </c>
      <c r="E8" s="4">
        <v>75</v>
      </c>
      <c r="F8" s="4">
        <v>85.2</v>
      </c>
      <c r="G8" s="4">
        <v>397.90000000000003</v>
      </c>
    </row>
    <row r="9" spans="1:8" x14ac:dyDescent="0.35">
      <c r="A9" s="7">
        <v>46310</v>
      </c>
      <c r="B9" s="4">
        <v>63.4</v>
      </c>
      <c r="C9" s="4">
        <v>90.1</v>
      </c>
      <c r="D9" s="4">
        <v>119.9</v>
      </c>
      <c r="E9" s="4">
        <v>62</v>
      </c>
      <c r="F9" s="4">
        <v>85.2</v>
      </c>
      <c r="G9" s="4">
        <v>420.59999999999997</v>
      </c>
    </row>
    <row r="10" spans="1:8" x14ac:dyDescent="0.35">
      <c r="A10" s="7">
        <v>46311</v>
      </c>
      <c r="B10" s="4">
        <v>64.8</v>
      </c>
      <c r="C10" s="4">
        <v>83.4</v>
      </c>
      <c r="D10" s="4">
        <v>137.1</v>
      </c>
      <c r="E10" s="4">
        <v>75.599999999999994</v>
      </c>
      <c r="F10" s="4">
        <v>101.8</v>
      </c>
      <c r="G10" s="4">
        <v>462.7</v>
      </c>
    </row>
    <row r="11" spans="1:8" x14ac:dyDescent="0.35">
      <c r="A11" s="7">
        <v>46312</v>
      </c>
      <c r="B11" s="4">
        <v>65</v>
      </c>
      <c r="C11" s="4">
        <v>84.1</v>
      </c>
      <c r="D11" s="4">
        <v>112.4</v>
      </c>
      <c r="E11" s="4">
        <v>64.7</v>
      </c>
      <c r="F11" s="4">
        <v>105.2</v>
      </c>
      <c r="G11" s="4">
        <v>431.4</v>
      </c>
    </row>
    <row r="12" spans="1:8" x14ac:dyDescent="0.35">
      <c r="A12" s="7">
        <v>46313</v>
      </c>
      <c r="B12" s="4">
        <v>57.9</v>
      </c>
      <c r="C12" s="4">
        <v>91</v>
      </c>
      <c r="D12" s="4">
        <v>125</v>
      </c>
      <c r="E12" s="4">
        <v>71.5</v>
      </c>
      <c r="F12" s="4">
        <v>103</v>
      </c>
      <c r="G12" s="4">
        <v>448.4</v>
      </c>
    </row>
    <row r="13" spans="1:8" x14ac:dyDescent="0.35">
      <c r="A13" s="7">
        <v>46314</v>
      </c>
      <c r="B13" s="4">
        <v>58</v>
      </c>
      <c r="C13" s="4">
        <v>82.6</v>
      </c>
      <c r="D13" s="4">
        <v>133.5</v>
      </c>
      <c r="E13" s="4">
        <v>62.9</v>
      </c>
      <c r="F13" s="4">
        <v>82.7</v>
      </c>
      <c r="G13" s="4">
        <v>419.7</v>
      </c>
    </row>
    <row r="14" spans="1:8" x14ac:dyDescent="0.35">
      <c r="A14" s="7">
        <v>46315</v>
      </c>
      <c r="B14" s="4">
        <v>68.7</v>
      </c>
      <c r="C14" s="4">
        <v>83.7</v>
      </c>
      <c r="D14" s="4">
        <v>102.1</v>
      </c>
      <c r="E14" s="4">
        <v>64.5</v>
      </c>
      <c r="F14" s="4">
        <v>98</v>
      </c>
      <c r="G14" s="4">
        <v>417</v>
      </c>
    </row>
    <row r="15" spans="1:8" x14ac:dyDescent="0.35">
      <c r="A15" s="7">
        <v>46316</v>
      </c>
      <c r="B15" s="4">
        <v>58.3</v>
      </c>
      <c r="C15" s="4">
        <v>75.599999999999994</v>
      </c>
      <c r="D15" s="4">
        <v>111</v>
      </c>
      <c r="E15" s="4">
        <v>70.599999999999994</v>
      </c>
      <c r="F15" s="4">
        <v>96.4</v>
      </c>
      <c r="G15" s="4">
        <v>411.9</v>
      </c>
    </row>
    <row r="16" spans="1:8" x14ac:dyDescent="0.35">
      <c r="A16" s="7">
        <v>46317</v>
      </c>
      <c r="B16" s="4">
        <v>66.900000000000006</v>
      </c>
      <c r="C16" s="4">
        <v>70.3</v>
      </c>
      <c r="D16" s="4">
        <v>137.9</v>
      </c>
      <c r="E16" s="4">
        <v>76.599999999999994</v>
      </c>
      <c r="F16" s="4">
        <v>93.4</v>
      </c>
      <c r="G16" s="4">
        <v>445.1</v>
      </c>
    </row>
    <row r="17" spans="1:7" x14ac:dyDescent="0.35">
      <c r="A17" s="7">
        <v>46318</v>
      </c>
      <c r="B17" s="4">
        <v>64.5</v>
      </c>
      <c r="C17" s="4">
        <v>80</v>
      </c>
      <c r="D17" s="4">
        <v>135.6</v>
      </c>
      <c r="E17" s="4">
        <v>63.5</v>
      </c>
      <c r="F17" s="4">
        <v>100.2</v>
      </c>
      <c r="G17" s="4">
        <v>443.8</v>
      </c>
    </row>
    <row r="18" spans="1:7" x14ac:dyDescent="0.35">
      <c r="A18" s="7">
        <v>46319</v>
      </c>
      <c r="B18" s="4">
        <v>53.2</v>
      </c>
      <c r="C18" s="4">
        <v>77.400000000000006</v>
      </c>
      <c r="D18" s="4">
        <v>137.1</v>
      </c>
      <c r="E18" s="4">
        <v>79.900000000000006</v>
      </c>
      <c r="F18" s="4">
        <v>86.7</v>
      </c>
      <c r="G18" s="4">
        <v>434.3</v>
      </c>
    </row>
    <row r="19" spans="1:7" x14ac:dyDescent="0.35">
      <c r="A19" s="7">
        <v>46320</v>
      </c>
      <c r="B19" s="4">
        <v>51.1</v>
      </c>
      <c r="C19" s="4">
        <v>79.2</v>
      </c>
      <c r="D19" s="4">
        <v>137.69999999999999</v>
      </c>
      <c r="E19" s="4">
        <v>67</v>
      </c>
      <c r="F19" s="4">
        <v>95.6</v>
      </c>
      <c r="G19" s="4">
        <v>430.6</v>
      </c>
    </row>
    <row r="20" spans="1:7" x14ac:dyDescent="0.35">
      <c r="A20" s="7">
        <v>46321</v>
      </c>
      <c r="B20" s="4">
        <v>55.4</v>
      </c>
      <c r="C20" s="4">
        <v>85.2</v>
      </c>
      <c r="D20" s="4">
        <v>109.1</v>
      </c>
      <c r="E20" s="4">
        <v>74.5</v>
      </c>
      <c r="F20" s="4">
        <v>106.3</v>
      </c>
      <c r="G20" s="4">
        <v>430.5</v>
      </c>
    </row>
    <row r="21" spans="1:7" x14ac:dyDescent="0.35">
      <c r="A21" s="7">
        <v>46322</v>
      </c>
      <c r="B21" s="4">
        <v>68.3</v>
      </c>
      <c r="C21" s="4">
        <v>78.7</v>
      </c>
      <c r="D21" s="4">
        <v>135.80000000000001</v>
      </c>
      <c r="E21" s="4">
        <v>76</v>
      </c>
      <c r="F21" s="4">
        <v>108.3</v>
      </c>
      <c r="G21" s="4">
        <v>467.1</v>
      </c>
    </row>
    <row r="22" spans="1:7" x14ac:dyDescent="0.35">
      <c r="A22" s="7" t="s">
        <v>25</v>
      </c>
      <c r="B22" s="4">
        <v>916.69999999999993</v>
      </c>
      <c r="C22" s="4">
        <v>1228.1000000000001</v>
      </c>
      <c r="D22" s="4">
        <v>1866.2999999999997</v>
      </c>
      <c r="E22" s="4">
        <v>1057.8000000000002</v>
      </c>
      <c r="F22" s="4">
        <v>1431.6999999999998</v>
      </c>
      <c r="G22" s="4">
        <v>6500.6000000000013</v>
      </c>
    </row>
  </sheetData>
  <pageMargins left="0.75" right="0.75" top="1" bottom="1" header="0.5" footer="0.5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"/>
  <sheetViews>
    <sheetView workbookViewId="0"/>
  </sheetViews>
  <sheetFormatPr baseColWidth="10" defaultColWidth="8.7265625" defaultRowHeight="14.5" x14ac:dyDescent="0.35"/>
  <sheetData>
    <row r="1" spans="1:3" x14ac:dyDescent="0.35">
      <c r="A1" t="s">
        <v>16</v>
      </c>
      <c r="B1" t="s">
        <v>17</v>
      </c>
      <c r="C1" t="s">
        <v>18</v>
      </c>
    </row>
    <row r="2" spans="1:3" x14ac:dyDescent="0.35">
      <c r="A2" s="5">
        <v>46322.395769818817</v>
      </c>
      <c r="B2" t="s">
        <v>19</v>
      </c>
      <c r="C2" t="s">
        <v>20</v>
      </c>
    </row>
    <row r="3" spans="1:3" x14ac:dyDescent="0.35">
      <c r="A3" s="5">
        <v>46322.395769874827</v>
      </c>
      <c r="B3" t="s">
        <v>19</v>
      </c>
      <c r="C3" t="s">
        <v>21</v>
      </c>
    </row>
    <row r="4" spans="1:3" x14ac:dyDescent="0.35">
      <c r="A4" s="5">
        <v>46322.395769896553</v>
      </c>
      <c r="B4" t="s">
        <v>19</v>
      </c>
      <c r="C4" t="s">
        <v>22</v>
      </c>
    </row>
    <row r="5" spans="1:3" x14ac:dyDescent="0.35">
      <c r="A5" s="5">
        <v>46322.395769898518</v>
      </c>
      <c r="B5" t="s">
        <v>19</v>
      </c>
      <c r="C5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Sheet1</vt:lpstr>
      <vt:lpstr>Feuille2</vt:lpstr>
      <vt:lpstr>Feuille1</vt:lpstr>
      <vt:lpstr>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Davoust, Jules</dc:creator>
  <cp:lastModifiedBy>Davoust, Jules</cp:lastModifiedBy>
  <dcterms:created xsi:type="dcterms:W3CDTF">2015-06-05T18:17:20Z</dcterms:created>
  <dcterms:modified xsi:type="dcterms:W3CDTF">2026-10-27T08:29:58Z</dcterms:modified>
</cp:coreProperties>
</file>