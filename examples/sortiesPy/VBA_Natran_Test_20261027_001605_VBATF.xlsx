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Feuil1" sheetId="1" state="visible" r:id="rId1"/>
    <sheet name="MVS_Base" sheetId="2" state="hidden" r:id="rId2"/>
    <sheet name="Feuille2" sheetId="3" state="visible" r:id="rId3"/>
    <sheet name="Feuille1" sheetId="4" state="visible" r:id="rId4"/>
    <sheet name="Log" sheetId="5" state="visible" r:id="rId5"/>
  </sheets>
  <definedNames/>
  <calcPr calcId="191029" fullCalcOnLoad="1"/>
  <pivotCaches>
    <pivotCache cacheId="4" r:id="rId6"/>
  </pivotCaches>
</workbook>
</file>

<file path=xl/styles.xml><?xml version="1.0" encoding="utf-8"?>
<styleSheet xmlns="http://schemas.openxmlformats.org/spreadsheetml/2006/main">
  <numFmts count="5">
    <numFmt numFmtId="164" formatCode="#,##0.0"/>
    <numFmt numFmtId="165" formatCode="dd/mm/yyyy\ hh:mm:ss"/>
    <numFmt numFmtId="166" formatCode="#.##0\.0"/>
    <numFmt numFmtId="167" formatCode="yyyy-mm-dd h:mm:ss"/>
    <numFmt numFmtId="168" formatCode="dd/mm/yyyy hh:mm:ss"/>
  </numFmts>
  <fonts count="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49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1" quotePrefix="0" xfId="0"/>
    <xf numFmtId="14" fontId="0" fillId="0" borderId="0" applyAlignment="1" pivotButton="0" quotePrefix="0" xfId="0">
      <alignment horizontal="left"/>
    </xf>
    <xf numFmtId="166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pivotCacheDefinition" Target="/xl/pivotCache/pivotCacheDefinition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pivotSource>
    <name>[classeur_vide.xlsx]Feuille1!TCD_Volume</name>
    <fmtId val="0"/>
  </pivotSource>
  <chart>
    <title>
      <tx>
        <rich>
          <a:bodyPr/>
          <a:lstStyle/>
          <a:p>
            <a:pPr>
              <a:defRPr/>
            </a:pPr>
            <a:r>
              <a:rPr lang="fr-FR"/>
              <a:t>Volumes distribues par region (GWh)</a:t>
            </a:r>
          </a:p>
        </rich>
      </tx>
      <overlay val="0"/>
    </title>
    <pivotFmts>
      <pivotFmt>
        <idx val="0"/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1"/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2"/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3"/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4"/>
        <marker>
          <symbol val="none"/>
          <spPr>
            <a:ln>
              <a:prstDash val="solid"/>
            </a:ln>
          </spPr>
        </marker>
        <dLbl>
          <idx val="0"/>
        </dLbl>
      </pivotFmt>
    </pivotFmts>
    <plotArea>
      <layout/>
      <lineChart>
        <grouping val="standard"/>
        <varyColors val="0"/>
        <ser>
          <idx val="0"/>
          <order val="0"/>
          <tx>
            <strRef>
              <f>Feuille1!$B$5:$B$6</f>
              <strCache>
                <ptCount val="1"/>
                <pt idx="0">
                  <v>Centre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Feuille1!$A$7:$A$22</f>
              <strCache>
                <ptCount val="15"/>
                <pt idx="0">
                  <v>13/10/2026</v>
                </pt>
                <pt idx="1">
                  <v>14/10/2026</v>
                </pt>
                <pt idx="2">
                  <v>15/10/2026</v>
                </pt>
                <pt idx="3">
                  <v>16/10/2026</v>
                </pt>
                <pt idx="4">
                  <v>17/10/2026</v>
                </pt>
                <pt idx="5">
                  <v>18/10/2026</v>
                </pt>
                <pt idx="6">
                  <v>19/10/2026</v>
                </pt>
                <pt idx="7">
                  <v>20/10/2026</v>
                </pt>
                <pt idx="8">
                  <v>21/10/2026</v>
                </pt>
                <pt idx="9">
                  <v>22/10/2026</v>
                </pt>
                <pt idx="10">
                  <v>23/10/2026</v>
                </pt>
                <pt idx="11">
                  <v>24/10/2026</v>
                </pt>
                <pt idx="12">
                  <v>25/10/2026</v>
                </pt>
                <pt idx="13">
                  <v>26/10/2026</v>
                </pt>
                <pt idx="14">
                  <v>27/10/2026</v>
                </pt>
              </strCache>
            </strRef>
          </cat>
          <val>
            <numRef>
              <f>Feuille1!$B$7:$B$22</f>
              <numCache>
                <formatCode>#.##0\.0</formatCode>
                <ptCount val="15"/>
                <pt idx="0">
                  <v>64.8</v>
                </pt>
                <pt idx="1">
                  <v>56.9</v>
                </pt>
                <pt idx="2">
                  <v>58.3</v>
                </pt>
                <pt idx="3">
                  <v>59.1</v>
                </pt>
                <pt idx="4">
                  <v>64.59999999999999</v>
                </pt>
                <pt idx="5">
                  <v>65.2</v>
                </pt>
                <pt idx="6">
                  <v>60.9</v>
                </pt>
                <pt idx="7">
                  <v>53.7</v>
                </pt>
                <pt idx="8">
                  <v>53.6</v>
                </pt>
                <pt idx="9">
                  <v>67.90000000000001</v>
                </pt>
                <pt idx="10">
                  <v>62.5</v>
                </pt>
                <pt idx="11">
                  <v>54.8</v>
                </pt>
                <pt idx="12">
                  <v>66.7</v>
                </pt>
                <pt idx="13">
                  <v>51.9</v>
                </pt>
                <pt idx="14">
                  <v>68.40000000000001</v>
                </pt>
              </numCache>
            </numRef>
          </val>
          <smooth val="0"/>
        </ser>
        <ser>
          <idx val="1"/>
          <order val="1"/>
          <tx>
            <strRef>
              <f>Feuille1!$C$5:$C$6</f>
              <strCache>
                <ptCount val="1"/>
                <pt idx="0">
                  <v>Est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Feuille1!$A$7:$A$22</f>
              <strCache>
                <ptCount val="15"/>
                <pt idx="0">
                  <v>13/10/2026</v>
                </pt>
                <pt idx="1">
                  <v>14/10/2026</v>
                </pt>
                <pt idx="2">
                  <v>15/10/2026</v>
                </pt>
                <pt idx="3">
                  <v>16/10/2026</v>
                </pt>
                <pt idx="4">
                  <v>17/10/2026</v>
                </pt>
                <pt idx="5">
                  <v>18/10/2026</v>
                </pt>
                <pt idx="6">
                  <v>19/10/2026</v>
                </pt>
                <pt idx="7">
                  <v>20/10/2026</v>
                </pt>
                <pt idx="8">
                  <v>21/10/2026</v>
                </pt>
                <pt idx="9">
                  <v>22/10/2026</v>
                </pt>
                <pt idx="10">
                  <v>23/10/2026</v>
                </pt>
                <pt idx="11">
                  <v>24/10/2026</v>
                </pt>
                <pt idx="12">
                  <v>25/10/2026</v>
                </pt>
                <pt idx="13">
                  <v>26/10/2026</v>
                </pt>
                <pt idx="14">
                  <v>27/10/2026</v>
                </pt>
              </strCache>
            </strRef>
          </cat>
          <val>
            <numRef>
              <f>Feuille1!$C$7:$C$22</f>
              <numCache>
                <formatCode>#.##0\.0</formatCode>
                <ptCount val="15"/>
                <pt idx="0">
                  <v>73.90000000000001</v>
                </pt>
                <pt idx="1">
                  <v>76.2</v>
                </pt>
                <pt idx="2">
                  <v>79.8</v>
                </pt>
                <pt idx="3">
                  <v>69.8</v>
                </pt>
                <pt idx="4">
                  <v>90.8</v>
                </pt>
                <pt idx="5">
                  <v>69.2</v>
                </pt>
                <pt idx="6">
                  <v>90.5</v>
                </pt>
                <pt idx="7">
                  <v>74</v>
                </pt>
                <pt idx="8">
                  <v>79.2</v>
                </pt>
                <pt idx="9">
                  <v>70.3</v>
                </pt>
                <pt idx="10">
                  <v>75.7</v>
                </pt>
                <pt idx="11">
                  <v>86.7</v>
                </pt>
                <pt idx="12">
                  <v>90.7</v>
                </pt>
                <pt idx="13">
                  <v>72.7</v>
                </pt>
                <pt idx="14">
                  <v>71.2</v>
                </pt>
              </numCache>
            </numRef>
          </val>
          <smooth val="0"/>
        </ser>
        <ser>
          <idx val="2"/>
          <order val="2"/>
          <tx>
            <strRef>
              <f>Feuille1!$D$5:$D$6</f>
              <strCache>
                <ptCount val="1"/>
                <pt idx="0">
                  <v>Nord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Feuille1!$A$7:$A$22</f>
              <strCache>
                <ptCount val="15"/>
                <pt idx="0">
                  <v>13/10/2026</v>
                </pt>
                <pt idx="1">
                  <v>14/10/2026</v>
                </pt>
                <pt idx="2">
                  <v>15/10/2026</v>
                </pt>
                <pt idx="3">
                  <v>16/10/2026</v>
                </pt>
                <pt idx="4">
                  <v>17/10/2026</v>
                </pt>
                <pt idx="5">
                  <v>18/10/2026</v>
                </pt>
                <pt idx="6">
                  <v>19/10/2026</v>
                </pt>
                <pt idx="7">
                  <v>20/10/2026</v>
                </pt>
                <pt idx="8">
                  <v>21/10/2026</v>
                </pt>
                <pt idx="9">
                  <v>22/10/2026</v>
                </pt>
                <pt idx="10">
                  <v>23/10/2026</v>
                </pt>
                <pt idx="11">
                  <v>24/10/2026</v>
                </pt>
                <pt idx="12">
                  <v>25/10/2026</v>
                </pt>
                <pt idx="13">
                  <v>26/10/2026</v>
                </pt>
                <pt idx="14">
                  <v>27/10/2026</v>
                </pt>
              </strCache>
            </strRef>
          </cat>
          <val>
            <numRef>
              <f>Feuille1!$D$7:$D$22</f>
              <numCache>
                <formatCode>#.##0\.0</formatCode>
                <ptCount val="15"/>
                <pt idx="0">
                  <v>113.9</v>
                </pt>
                <pt idx="1">
                  <v>117.9</v>
                </pt>
                <pt idx="2">
                  <v>116.1</v>
                </pt>
                <pt idx="3">
                  <v>114.6</v>
                </pt>
                <pt idx="4">
                  <v>128.9</v>
                </pt>
                <pt idx="5">
                  <v>114.8</v>
                </pt>
                <pt idx="6">
                  <v>118.9</v>
                </pt>
                <pt idx="7">
                  <v>111.4</v>
                </pt>
                <pt idx="8">
                  <v>132.4</v>
                </pt>
                <pt idx="9">
                  <v>129.9</v>
                </pt>
                <pt idx="10">
                  <v>112.5</v>
                </pt>
                <pt idx="11">
                  <v>132.7</v>
                </pt>
                <pt idx="12">
                  <v>128.4</v>
                </pt>
                <pt idx="13">
                  <v>107.9</v>
                </pt>
                <pt idx="14">
                  <v>111.7</v>
                </pt>
              </numCache>
            </numRef>
          </val>
          <smooth val="0"/>
        </ser>
        <ser>
          <idx val="3"/>
          <order val="3"/>
          <tx>
            <strRef>
              <f>Feuille1!$E$5:$E$6</f>
              <strCache>
                <ptCount val="1"/>
                <pt idx="0">
                  <v>Ouest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Feuille1!$A$7:$A$22</f>
              <strCache>
                <ptCount val="15"/>
                <pt idx="0">
                  <v>13/10/2026</v>
                </pt>
                <pt idx="1">
                  <v>14/10/2026</v>
                </pt>
                <pt idx="2">
                  <v>15/10/2026</v>
                </pt>
                <pt idx="3">
                  <v>16/10/2026</v>
                </pt>
                <pt idx="4">
                  <v>17/10/2026</v>
                </pt>
                <pt idx="5">
                  <v>18/10/2026</v>
                </pt>
                <pt idx="6">
                  <v>19/10/2026</v>
                </pt>
                <pt idx="7">
                  <v>20/10/2026</v>
                </pt>
                <pt idx="8">
                  <v>21/10/2026</v>
                </pt>
                <pt idx="9">
                  <v>22/10/2026</v>
                </pt>
                <pt idx="10">
                  <v>23/10/2026</v>
                </pt>
                <pt idx="11">
                  <v>24/10/2026</v>
                </pt>
                <pt idx="12">
                  <v>25/10/2026</v>
                </pt>
                <pt idx="13">
                  <v>26/10/2026</v>
                </pt>
                <pt idx="14">
                  <v>27/10/2026</v>
                </pt>
              </strCache>
            </strRef>
          </cat>
          <val>
            <numRef>
              <f>Feuille1!$E$7:$E$22</f>
              <numCache>
                <formatCode>#.##0\.0</formatCode>
                <ptCount val="15"/>
                <pt idx="0">
                  <v>76.40000000000001</v>
                </pt>
                <pt idx="1">
                  <v>72.90000000000001</v>
                </pt>
                <pt idx="2">
                  <v>63</v>
                </pt>
                <pt idx="3">
                  <v>60.4</v>
                </pt>
                <pt idx="4">
                  <v>69.7</v>
                </pt>
                <pt idx="5">
                  <v>68.59999999999999</v>
                </pt>
                <pt idx="6">
                  <v>69</v>
                </pt>
                <pt idx="7">
                  <v>72.40000000000001</v>
                </pt>
                <pt idx="8">
                  <v>60</v>
                </pt>
                <pt idx="9">
                  <v>60.4</v>
                </pt>
                <pt idx="10">
                  <v>73.90000000000001</v>
                </pt>
                <pt idx="11">
                  <v>80.2</v>
                </pt>
                <pt idx="12">
                  <v>72.59999999999999</v>
                </pt>
                <pt idx="13">
                  <v>65.8</v>
                </pt>
                <pt idx="14">
                  <v>77.59999999999999</v>
                </pt>
              </numCache>
            </numRef>
          </val>
          <smooth val="0"/>
        </ser>
        <ser>
          <idx val="4"/>
          <order val="4"/>
          <tx>
            <strRef>
              <f>Feuille1!$F$5:$F$6</f>
              <strCache>
                <ptCount val="1"/>
                <pt idx="0">
                  <v>Sud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Feuille1!$A$7:$A$22</f>
              <strCache>
                <ptCount val="15"/>
                <pt idx="0">
                  <v>13/10/2026</v>
                </pt>
                <pt idx="1">
                  <v>14/10/2026</v>
                </pt>
                <pt idx="2">
                  <v>15/10/2026</v>
                </pt>
                <pt idx="3">
                  <v>16/10/2026</v>
                </pt>
                <pt idx="4">
                  <v>17/10/2026</v>
                </pt>
                <pt idx="5">
                  <v>18/10/2026</v>
                </pt>
                <pt idx="6">
                  <v>19/10/2026</v>
                </pt>
                <pt idx="7">
                  <v>20/10/2026</v>
                </pt>
                <pt idx="8">
                  <v>21/10/2026</v>
                </pt>
                <pt idx="9">
                  <v>22/10/2026</v>
                </pt>
                <pt idx="10">
                  <v>23/10/2026</v>
                </pt>
                <pt idx="11">
                  <v>24/10/2026</v>
                </pt>
                <pt idx="12">
                  <v>25/10/2026</v>
                </pt>
                <pt idx="13">
                  <v>26/10/2026</v>
                </pt>
                <pt idx="14">
                  <v>27/10/2026</v>
                </pt>
              </strCache>
            </strRef>
          </cat>
          <val>
            <numRef>
              <f>Feuille1!$F$7:$F$22</f>
              <numCache>
                <formatCode>#.##0\.0</formatCode>
                <ptCount val="15"/>
                <pt idx="0">
                  <v>99.09999999999999</v>
                </pt>
                <pt idx="1">
                  <v>87.59999999999999</v>
                </pt>
                <pt idx="2">
                  <v>101</v>
                </pt>
                <pt idx="3">
                  <v>96.90000000000001</v>
                </pt>
                <pt idx="4">
                  <v>86.2</v>
                </pt>
                <pt idx="5">
                  <v>86.3</v>
                </pt>
                <pt idx="6">
                  <v>98.3</v>
                </pt>
                <pt idx="7">
                  <v>100</v>
                </pt>
                <pt idx="8">
                  <v>91.40000000000001</v>
                </pt>
                <pt idx="9">
                  <v>91</v>
                </pt>
                <pt idx="10">
                  <v>102</v>
                </pt>
                <pt idx="11">
                  <v>88.09999999999999</v>
                </pt>
                <pt idx="12">
                  <v>105.8</v>
                </pt>
                <pt idx="13">
                  <v>85.2</v>
                </pt>
                <pt idx="14">
                  <v>96.90000000000001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624238048"/>
        <axId val="370794096"/>
      </lineChart>
      <catAx>
        <axId val="1624238048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370794096"/>
        <crosses val="autoZero"/>
        <auto val="1"/>
        <lblAlgn val="ctr"/>
        <lblOffset val="100"/>
        <noMultiLvlLbl val="0"/>
      </catAx>
      <valAx>
        <axId val="370794096"/>
        <scaling>
          <orientation val="minMax"/>
        </scaling>
        <delete val="0"/>
        <axPos val="l"/>
        <majorGridlines/>
        <numFmt formatCode="#.##0\.0" sourceLinked="1"/>
        <majorTickMark val="out"/>
        <minorTickMark val="none"/>
        <tickLblPos val="nextTo"/>
        <crossAx val="1624238048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0</colOff>
      <row>4</row>
      <rowOff>0</rowOff>
    </from>
    <to>
      <col>19</col>
      <colOff>508000</colOff>
      <row>24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Jules" refreshedDate="46322.01117245371" createdVersion="8" refreshedVersion="8" minRefreshableVersion="3" recordCount="75" r:id="rId1">
  <cacheSource type="worksheet">
    <worksheetSource name="tblDonnees"/>
  </cacheSource>
  <cacheFields count="5">
    <cacheField name="Date" uniqueList="1" numFmtId="14" sqlType="0" hierarchy="0" level="0" databaseField="1">
      <sharedItems count="15" containsDate="1" containsNonDate="0" containsSemiMixedTypes="0" containsString="0" minDate="2026-10-13T00:00:00" maxDate="2026-10-28T00:00:00"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</sharedItems>
    </cacheField>
    <cacheField name="Region" uniqueList="1" numFmtId="0" sqlType="0" hierarchy="0" level="0" databaseField="1">
      <sharedItems count="5">
        <s v="Nord"/>
        <s v="Sud"/>
        <s v="Est"/>
        <s v="Ouest"/>
        <s v="Centre"/>
      </sharedItems>
    </cacheField>
    <cacheField name="Volume_GWh" uniqueList="1" numFmtId="0" sqlType="0" hierarchy="0" level="0" databaseField="1">
      <sharedItems count="0" containsNumber="1" containsSemiMixedTypes="0" containsString="0" minValue="51.9" maxValue="132.7"/>
    </cacheField>
    <cacheField name="Temperature_C" uniqueList="1" numFmtId="0" sqlType="0" hierarchy="0" level="0" databaseField="1">
      <sharedItems count="0" containsNumber="1" containsSemiMixedTypes="0" containsString="0" minValue="2.1" maxValue="15.8"/>
    </cacheField>
    <cacheField name="Statut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75">
  <r>
    <x v="0"/>
    <x v="0"/>
    <n v="113.9"/>
    <n v="6.6"/>
    <s v="Historique"/>
  </r>
  <r>
    <x v="0"/>
    <x v="1"/>
    <n v="99.09999999999999"/>
    <n v="2.1"/>
    <s v="Historique"/>
  </r>
  <r>
    <x v="0"/>
    <x v="2"/>
    <n v="73.90000000000001"/>
    <n v="13.8"/>
    <s v="Historique"/>
  </r>
  <r>
    <x v="0"/>
    <x v="3"/>
    <n v="76.40000000000001"/>
    <n v="11"/>
    <s v="Historique"/>
  </r>
  <r>
    <x v="0"/>
    <x v="4"/>
    <n v="64.8"/>
    <n v="10.8"/>
    <s v="Historique"/>
  </r>
  <r>
    <x v="1"/>
    <x v="0"/>
    <n v="117.9"/>
    <n v="14.9"/>
    <s v="Historique"/>
  </r>
  <r>
    <x v="1"/>
    <x v="1"/>
    <n v="87.59999999999999"/>
    <n v="9.6"/>
    <s v="Historique"/>
  </r>
  <r>
    <x v="1"/>
    <x v="2"/>
    <n v="76.2"/>
    <n v="7.8"/>
    <s v="Historique"/>
  </r>
  <r>
    <x v="1"/>
    <x v="3"/>
    <n v="72.90000000000001"/>
    <n v="10"/>
    <s v="Historique"/>
  </r>
  <r>
    <x v="1"/>
    <x v="4"/>
    <n v="56.9"/>
    <n v="6.8"/>
    <s v="Historique"/>
  </r>
  <r>
    <x v="2"/>
    <x v="0"/>
    <n v="116.1"/>
    <n v="7.9"/>
    <s v="Historique"/>
  </r>
  <r>
    <x v="2"/>
    <x v="1"/>
    <n v="101"/>
    <n v="11.3"/>
    <s v="Historique"/>
  </r>
  <r>
    <x v="2"/>
    <x v="2"/>
    <n v="79.8"/>
    <n v="12.8"/>
    <s v="Historique"/>
  </r>
  <r>
    <x v="2"/>
    <x v="3"/>
    <n v="63"/>
    <n v="3.8"/>
    <s v="Historique"/>
  </r>
  <r>
    <x v="2"/>
    <x v="4"/>
    <n v="58.3"/>
    <n v="4.7"/>
    <s v="Historique"/>
  </r>
  <r>
    <x v="3"/>
    <x v="0"/>
    <n v="114.6"/>
    <n v="12.5"/>
    <s v="Historique"/>
  </r>
  <r>
    <x v="3"/>
    <x v="1"/>
    <n v="96.90000000000001"/>
    <n v="5.5"/>
    <s v="Historique"/>
  </r>
  <r>
    <x v="3"/>
    <x v="2"/>
    <n v="69.8"/>
    <n v="9.4"/>
    <s v="Historique"/>
  </r>
  <r>
    <x v="3"/>
    <x v="3"/>
    <n v="60.4"/>
    <n v="5.1"/>
    <s v="Historique"/>
  </r>
  <r>
    <x v="3"/>
    <x v="4"/>
    <n v="59.1"/>
    <n v="13.4"/>
    <s v="Historique"/>
  </r>
  <r>
    <x v="4"/>
    <x v="0"/>
    <n v="128.9"/>
    <n v="10.8"/>
    <s v="Historique"/>
  </r>
  <r>
    <x v="4"/>
    <x v="1"/>
    <n v="86.2"/>
    <n v="10.9"/>
    <s v="Historique"/>
  </r>
  <r>
    <x v="4"/>
    <x v="2"/>
    <n v="90.8"/>
    <n v="6.6"/>
    <s v="Historique"/>
  </r>
  <r>
    <x v="4"/>
    <x v="3"/>
    <n v="69.7"/>
    <n v="10.6"/>
    <s v="Historique"/>
  </r>
  <r>
    <x v="4"/>
    <x v="4"/>
    <n v="64.59999999999999"/>
    <n v="6.5"/>
    <s v="Historique"/>
  </r>
  <r>
    <x v="5"/>
    <x v="0"/>
    <n v="114.8"/>
    <n v="15.7"/>
    <s v="Historique"/>
  </r>
  <r>
    <x v="5"/>
    <x v="1"/>
    <n v="86.3"/>
    <n v="6.4"/>
    <s v="Historique"/>
  </r>
  <r>
    <x v="5"/>
    <x v="2"/>
    <n v="69.2"/>
    <n v="8.9"/>
    <s v="Historique"/>
  </r>
  <r>
    <x v="5"/>
    <x v="3"/>
    <n v="68.59999999999999"/>
    <n v="4.7"/>
    <s v="Historique"/>
  </r>
  <r>
    <x v="5"/>
    <x v="4"/>
    <n v="65.2"/>
    <n v="12.1"/>
    <s v="Historique"/>
  </r>
  <r>
    <x v="6"/>
    <x v="0"/>
    <n v="118.9"/>
    <n v="14.4"/>
    <s v="Historique"/>
  </r>
  <r>
    <x v="6"/>
    <x v="1"/>
    <n v="98.3"/>
    <n v="12.4"/>
    <s v="Historique"/>
  </r>
  <r>
    <x v="6"/>
    <x v="2"/>
    <n v="90.5"/>
    <n v="2.3"/>
    <s v="Historique"/>
  </r>
  <r>
    <x v="6"/>
    <x v="3"/>
    <n v="69"/>
    <n v="11.4"/>
    <s v="Historique"/>
  </r>
  <r>
    <x v="6"/>
    <x v="4"/>
    <n v="60.9"/>
    <n v="5.6"/>
    <s v="Historique"/>
  </r>
  <r>
    <x v="7"/>
    <x v="0"/>
    <n v="111.4"/>
    <n v="2.2"/>
    <s v="Historique"/>
  </r>
  <r>
    <x v="7"/>
    <x v="1"/>
    <n v="100"/>
    <n v="12.1"/>
    <s v="Historique"/>
  </r>
  <r>
    <x v="7"/>
    <x v="2"/>
    <n v="74"/>
    <n v="3.4"/>
    <s v="Historique"/>
  </r>
  <r>
    <x v="7"/>
    <x v="3"/>
    <n v="72.40000000000001"/>
    <n v="2.6"/>
    <s v="Historique"/>
  </r>
  <r>
    <x v="7"/>
    <x v="4"/>
    <n v="53.7"/>
    <n v="10.2"/>
    <s v="Historique"/>
  </r>
  <r>
    <x v="8"/>
    <x v="0"/>
    <n v="132.4"/>
    <n v="5.9"/>
    <s v="Historique"/>
  </r>
  <r>
    <x v="8"/>
    <x v="1"/>
    <n v="91.40000000000001"/>
    <n v="3.4"/>
    <s v="Historique"/>
  </r>
  <r>
    <x v="8"/>
    <x v="2"/>
    <n v="79.2"/>
    <n v="5.5"/>
    <s v="Historique"/>
  </r>
  <r>
    <x v="8"/>
    <x v="3"/>
    <n v="60"/>
    <n v="5.8"/>
    <s v="Historique"/>
  </r>
  <r>
    <x v="8"/>
    <x v="4"/>
    <n v="53.6"/>
    <n v="4.2"/>
    <s v="Historique"/>
  </r>
  <r>
    <x v="9"/>
    <x v="0"/>
    <n v="129.9"/>
    <n v="7.7"/>
    <s v="Historique"/>
  </r>
  <r>
    <x v="9"/>
    <x v="1"/>
    <n v="91"/>
    <n v="12.4"/>
    <s v="Historique"/>
  </r>
  <r>
    <x v="9"/>
    <x v="2"/>
    <n v="70.3"/>
    <n v="11.3"/>
    <s v="Historique"/>
  </r>
  <r>
    <x v="9"/>
    <x v="3"/>
    <n v="60.4"/>
    <n v="5.8"/>
    <s v="Historique"/>
  </r>
  <r>
    <x v="9"/>
    <x v="4"/>
    <n v="67.90000000000001"/>
    <n v="10.5"/>
    <s v="Historique"/>
  </r>
  <r>
    <x v="10"/>
    <x v="0"/>
    <n v="112.5"/>
    <n v="3.8"/>
    <s v="Historique"/>
  </r>
  <r>
    <x v="10"/>
    <x v="1"/>
    <n v="102"/>
    <n v="9.699999999999999"/>
    <s v="Historique"/>
  </r>
  <r>
    <x v="10"/>
    <x v="2"/>
    <n v="75.7"/>
    <n v="2.6"/>
    <s v="Historique"/>
  </r>
  <r>
    <x v="10"/>
    <x v="3"/>
    <n v="73.90000000000001"/>
    <n v="12"/>
    <s v="Historique"/>
  </r>
  <r>
    <x v="10"/>
    <x v="4"/>
    <n v="62.5"/>
    <n v="11.5"/>
    <s v="Historique"/>
  </r>
  <r>
    <x v="11"/>
    <x v="0"/>
    <n v="132.7"/>
    <n v="5.9"/>
    <s v="Historique"/>
  </r>
  <r>
    <x v="11"/>
    <x v="1"/>
    <n v="88.09999999999999"/>
    <n v="2.5"/>
    <s v="Historique"/>
  </r>
  <r>
    <x v="11"/>
    <x v="2"/>
    <n v="86.7"/>
    <n v="2.7"/>
    <s v="Historique"/>
  </r>
  <r>
    <x v="11"/>
    <x v="3"/>
    <n v="80.2"/>
    <n v="12.6"/>
    <s v="Historique"/>
  </r>
  <r>
    <x v="11"/>
    <x v="4"/>
    <n v="54.8"/>
    <n v="12.3"/>
    <s v="Historique"/>
  </r>
  <r>
    <x v="12"/>
    <x v="0"/>
    <n v="128.4"/>
    <n v="2.6"/>
    <s v="Historique"/>
  </r>
  <r>
    <x v="12"/>
    <x v="1"/>
    <n v="105.8"/>
    <n v="7.4"/>
    <s v="Historique"/>
  </r>
  <r>
    <x v="12"/>
    <x v="2"/>
    <n v="90.7"/>
    <n v="14.3"/>
    <s v="Historique"/>
  </r>
  <r>
    <x v="12"/>
    <x v="3"/>
    <n v="72.59999999999999"/>
    <n v="7.7"/>
    <s v="Historique"/>
  </r>
  <r>
    <x v="12"/>
    <x v="4"/>
    <n v="66.7"/>
    <n v="11.6"/>
    <s v="Historique"/>
  </r>
  <r>
    <x v="13"/>
    <x v="0"/>
    <n v="107.9"/>
    <n v="6.2"/>
    <s v="Historique"/>
  </r>
  <r>
    <x v="13"/>
    <x v="1"/>
    <n v="85.2"/>
    <n v="7.9"/>
    <s v="Historique"/>
  </r>
  <r>
    <x v="13"/>
    <x v="2"/>
    <n v="72.7"/>
    <n v="15.8"/>
    <s v="Historique"/>
  </r>
  <r>
    <x v="13"/>
    <x v="3"/>
    <n v="65.8"/>
    <n v="13.3"/>
    <s v="Historique"/>
  </r>
  <r>
    <x v="13"/>
    <x v="4"/>
    <n v="51.9"/>
    <n v="14.6"/>
    <s v="Historique"/>
  </r>
  <r>
    <x v="14"/>
    <x v="0"/>
    <n v="111.7"/>
    <n v="10.6"/>
    <s v="Phase de test"/>
  </r>
  <r>
    <x v="14"/>
    <x v="1"/>
    <n v="96.90000000000001"/>
    <n v="12.6"/>
    <s v="Phase de test"/>
  </r>
  <r>
    <x v="14"/>
    <x v="2"/>
    <n v="71.2"/>
    <n v="13.5"/>
    <s v="Phase de test"/>
  </r>
  <r>
    <x v="14"/>
    <x v="3"/>
    <n v="77.59999999999999"/>
    <n v="6.4"/>
    <s v="Phase de test"/>
  </r>
  <r>
    <x v="14"/>
    <x v="4"/>
    <n v="68.40000000000001"/>
    <n v="11.8"/>
    <s v="Phase de test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CD_Volume" cacheId="4" dataOnRows="0" dataCaption="Valeur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1" fieldListSortAscending="0" mdxSubqueries="0" applyNumberFormats="0" applyBorderFormats="0" applyFontFormats="0" applyPatternFormats="0" applyAlignmentFormats="0" applyWidthHeightFormats="1" r:id="rId1">
  <location ref="A5:G22" firstHeaderRow="1" firstDataRow="2" firstDataCol="1"/>
  <pivotFields count="5">
    <pivotField axis="axisRow" showDropDowns="1" compact="1" numFmtId="14" outline="1" subtotalTop="1" dragToRow="1" dragToCol="1" dragToPage="1" dragToData="1" dragOff="1" showAll="0" topAutoShow="1" itemPageCount="10" sortType="manual" defaultSubtotal="1">
      <items count="1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6">
        <item t="data" sd="1" x="4"/>
        <item t="data" sd="1" x="2"/>
        <item t="data" sd="1" x="0"/>
        <item t="data" sd="1" x="3"/>
        <item t="data" sd="1" x="1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1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grand" r="0" i="0">
      <x v="0"/>
    </i>
  </rowItems>
  <colFields count="1">
    <field x="1"/>
  </colFields>
  <col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colItems>
  <dataFields count="1">
    <dataField name="Volume (GWh)" fld="2" subtotal="sum" showDataAs="normal" baseField="0" baseItem="0" numFmtId="168"/>
  </dataFields>
  <chartFormats count="5">
    <chartFormat chart="0" format="0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0"/>
          </reference>
        </references>
      </pivotArea>
    </chartFormat>
    <chartFormat chart="0" format="1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1"/>
          </reference>
        </references>
      </pivotArea>
    </chartFormat>
    <chartFormat chart="0" format="2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2"/>
          </reference>
        </references>
      </pivotArea>
    </chartFormat>
    <chartFormat chart="0" format="3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3"/>
          </reference>
        </references>
      </pivotArea>
    </chartFormat>
    <chartFormat chart="0" format="4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blDonnees" displayName="tblDonnees" ref="A1:E76" headerRowCount="1">
  <autoFilter ref="A1:E76">
    <filterColumn colId="1" hiddenButton="0" showButton="1">
      <filters>
        <filter val="Nord"/>
      </filters>
    </filterColumn>
  </autoFilter>
  <tableColumns count="5">
    <tableColumn id="1" name="Date"/>
    <tableColumn id="2" name="Region"/>
    <tableColumn id="3" name="Volume_GWh"/>
    <tableColumn id="4" name="Temperature_C"/>
    <tableColumn id="5" name="Stat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pivotTable" Target="/xl/pivotTables/pivot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="40" zoomScaleNormal="40" workbookViewId="0">
      <selection activeCell="Q52" sqref="Q52"/>
    </sheetView>
  </sheetViews>
  <sheetFormatPr baseColWidth="10" defaultColWidth="9.140625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ISIN</t>
        </is>
      </c>
      <c r="B1" s="1" t="inlineStr">
        <is>
          <t>Libelle</t>
        </is>
      </c>
      <c r="C1" s="1" t="inlineStr">
        <is>
          <t>Statut</t>
        </is>
      </c>
      <c r="D1" s="1" t="inlineStr">
        <is>
          <t>Encours_MEUR</t>
        </is>
      </c>
      <c r="E1" s="1" t="inlineStr">
        <is>
          <t>Date_MAJ</t>
        </is>
      </c>
      <c r="F1" s="1" t="inlineStr">
        <is>
          <t>Commentaire</t>
        </is>
      </c>
    </row>
    <row r="2">
      <c r="A2" s="1" t="inlineStr">
        <is>
          <t>FR0010000001</t>
        </is>
      </c>
      <c r="B2" s="1" t="inlineStr">
        <is>
          <t>FONDS ACTIONS EUROPE</t>
        </is>
      </c>
      <c r="C2" s="1" t="inlineStr">
        <is>
          <t>ACTIF</t>
        </is>
      </c>
      <c r="D2" s="1" t="inlineStr">
        <is>
          <t>1250.5</t>
        </is>
      </c>
      <c r="E2" s="1" t="inlineStr">
        <is>
          <t>01/10/2026</t>
        </is>
      </c>
      <c r="F2" s="1" t="n"/>
    </row>
    <row r="3">
      <c r="A3" s="1" t="inlineStr">
        <is>
          <t>FR0010000002</t>
        </is>
      </c>
      <c r="B3" s="1" t="inlineStr">
        <is>
          <t>FONDS OBLIG CORPORATE</t>
        </is>
      </c>
      <c r="C3" s="1" t="inlineStr">
        <is>
          <t>ACTIF</t>
        </is>
      </c>
      <c r="D3" s="1" t="inlineStr">
        <is>
          <t>890.2</t>
        </is>
      </c>
      <c r="E3" s="1" t="inlineStr">
        <is>
          <t>28/09/2026</t>
        </is>
      </c>
      <c r="F3" s="1" t="inlineStr">
        <is>
          <t>RAS</t>
        </is>
      </c>
    </row>
    <row r="4">
      <c r="A4" s="1" t="inlineStr">
        <is>
          <t>FR0010000003</t>
        </is>
      </c>
      <c r="B4" s="1" t="inlineStr">
        <is>
          <t>FONDS MONETAIRE EURO</t>
        </is>
      </c>
      <c r="C4" s="1" t="inlineStr">
        <is>
          <t>ACTIF</t>
        </is>
      </c>
      <c r="D4" s="1" t="inlineStr">
        <is>
          <t>2310.0</t>
        </is>
      </c>
      <c r="E4" s="1" t="inlineStr">
        <is>
          <t>15/10/2026</t>
        </is>
      </c>
      <c r="F4" s="1" t="n"/>
    </row>
    <row r="5">
      <c r="A5" s="1" t="inlineStr">
        <is>
          <t>FR0010000004</t>
        </is>
      </c>
      <c r="B5" s="1" t="inlineStr">
        <is>
          <t>FONDS DIVERSIFIE PRUDENT</t>
        </is>
      </c>
      <c r="C5" s="1" t="inlineStr">
        <is>
          <t>ACTIF</t>
        </is>
      </c>
      <c r="D5" s="1" t="inlineStr">
        <is>
          <t>455.8</t>
        </is>
      </c>
      <c r="E5" s="1" t="inlineStr">
        <is>
          <t>03/10/2026</t>
        </is>
      </c>
      <c r="F5" s="1" t="inlineStr">
        <is>
          <t>A SURVEILLER</t>
        </is>
      </c>
    </row>
    <row r="6">
      <c r="A6" s="1" t="inlineStr">
        <is>
          <t>FR0010000005</t>
        </is>
      </c>
      <c r="B6" s="1" t="inlineStr">
        <is>
          <t>FONDS ACTIONS USA</t>
        </is>
      </c>
      <c r="C6" s="1" t="inlineStr">
        <is>
          <t>FERME</t>
        </is>
      </c>
      <c r="D6" s="1" t="inlineStr">
        <is>
          <t>120.4</t>
        </is>
      </c>
      <c r="E6" s="1" t="inlineStr">
        <is>
          <t>30/06/2026</t>
        </is>
      </c>
      <c r="F6" s="1" t="inlineStr">
        <is>
          <t>LIQUIDATION</t>
        </is>
      </c>
    </row>
    <row r="7">
      <c r="A7" s="1" t="inlineStr">
        <is>
          <t>FR0010000006</t>
        </is>
      </c>
      <c r="B7" s="1" t="inlineStr">
        <is>
          <t>FONDS INFRA ENERGIE</t>
        </is>
      </c>
      <c r="C7" s="1" t="inlineStr">
        <is>
          <t>ACTIF</t>
        </is>
      </c>
      <c r="D7" s="1" t="inlineStr">
        <is>
          <t>780.0</t>
        </is>
      </c>
      <c r="E7" s="1" t="inlineStr">
        <is>
          <t>20/10/2026</t>
        </is>
      </c>
      <c r="F7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10" defaultColWidth="9.140625" defaultRowHeight="15"/>
  <cols>
    <col width="12" customWidth="1" style="2" min="1" max="1"/>
    <col width="8" customWidth="1" min="2" max="2"/>
    <col width="12" customWidth="1" min="3" max="3"/>
    <col width="15" customWidth="1" min="4" max="4"/>
    <col width="12" customWidth="1" min="5" max="5"/>
  </cols>
  <sheetData>
    <row r="1">
      <c r="A1" t="inlineStr">
        <is>
          <t>Date</t>
        </is>
      </c>
      <c r="B1" t="inlineStr">
        <is>
          <t>Region</t>
        </is>
      </c>
      <c r="C1" t="inlineStr">
        <is>
          <t>Volume_GWh</t>
        </is>
      </c>
      <c r="D1" t="inlineStr">
        <is>
          <t>Temperature_C</t>
        </is>
      </c>
      <c r="E1" t="inlineStr">
        <is>
          <t>Statut</t>
        </is>
      </c>
    </row>
    <row r="2">
      <c r="A2" s="2" t="n">
        <v>46308</v>
      </c>
      <c r="B2" t="inlineStr">
        <is>
          <t>Nord</t>
        </is>
      </c>
      <c r="C2" t="n">
        <v>113.9</v>
      </c>
      <c r="D2" t="n">
        <v>6.6</v>
      </c>
      <c r="E2" t="inlineStr">
        <is>
          <t>Historique</t>
        </is>
      </c>
    </row>
    <row r="3" hidden="1">
      <c r="A3" s="2" t="n">
        <v>46308</v>
      </c>
      <c r="B3" t="inlineStr">
        <is>
          <t>Sud</t>
        </is>
      </c>
      <c r="C3" t="n">
        <v>99.09999999999999</v>
      </c>
      <c r="D3" t="n">
        <v>2.1</v>
      </c>
      <c r="E3" t="inlineStr">
        <is>
          <t>Historique</t>
        </is>
      </c>
    </row>
    <row r="4" hidden="1">
      <c r="A4" s="2" t="n">
        <v>46308</v>
      </c>
      <c r="B4" t="inlineStr">
        <is>
          <t>Est</t>
        </is>
      </c>
      <c r="C4" t="n">
        <v>73.90000000000001</v>
      </c>
      <c r="D4" t="n">
        <v>13.8</v>
      </c>
      <c r="E4" t="inlineStr">
        <is>
          <t>Historique</t>
        </is>
      </c>
    </row>
    <row r="5" hidden="1">
      <c r="A5" s="2" t="n">
        <v>46308</v>
      </c>
      <c r="B5" t="inlineStr">
        <is>
          <t>Ouest</t>
        </is>
      </c>
      <c r="C5" t="n">
        <v>76.40000000000001</v>
      </c>
      <c r="D5" t="n">
        <v>11</v>
      </c>
      <c r="E5" t="inlineStr">
        <is>
          <t>Historique</t>
        </is>
      </c>
    </row>
    <row r="6" hidden="1">
      <c r="A6" s="2" t="n">
        <v>46308</v>
      </c>
      <c r="B6" t="inlineStr">
        <is>
          <t>Centre</t>
        </is>
      </c>
      <c r="C6" t="n">
        <v>64.8</v>
      </c>
      <c r="D6" t="n">
        <v>10.8</v>
      </c>
      <c r="E6" t="inlineStr">
        <is>
          <t>Historique</t>
        </is>
      </c>
    </row>
    <row r="7">
      <c r="A7" s="2" t="n">
        <v>46309</v>
      </c>
      <c r="B7" t="inlineStr">
        <is>
          <t>Nord</t>
        </is>
      </c>
      <c r="C7" t="n">
        <v>117.9</v>
      </c>
      <c r="D7" t="n">
        <v>14.9</v>
      </c>
      <c r="E7" t="inlineStr">
        <is>
          <t>Historique</t>
        </is>
      </c>
    </row>
    <row r="8" hidden="1">
      <c r="A8" s="2" t="n">
        <v>46309</v>
      </c>
      <c r="B8" t="inlineStr">
        <is>
          <t>Sud</t>
        </is>
      </c>
      <c r="C8" t="n">
        <v>87.59999999999999</v>
      </c>
      <c r="D8" t="n">
        <v>9.6</v>
      </c>
      <c r="E8" t="inlineStr">
        <is>
          <t>Historique</t>
        </is>
      </c>
    </row>
    <row r="9" hidden="1">
      <c r="A9" s="2" t="n">
        <v>46309</v>
      </c>
      <c r="B9" t="inlineStr">
        <is>
          <t>Est</t>
        </is>
      </c>
      <c r="C9" t="n">
        <v>76.2</v>
      </c>
      <c r="D9" t="n">
        <v>7.8</v>
      </c>
      <c r="E9" t="inlineStr">
        <is>
          <t>Historique</t>
        </is>
      </c>
    </row>
    <row r="10" hidden="1">
      <c r="A10" s="2" t="n">
        <v>46309</v>
      </c>
      <c r="B10" t="inlineStr">
        <is>
          <t>Ouest</t>
        </is>
      </c>
      <c r="C10" t="n">
        <v>72.90000000000001</v>
      </c>
      <c r="D10" t="n">
        <v>10</v>
      </c>
      <c r="E10" t="inlineStr">
        <is>
          <t>Historique</t>
        </is>
      </c>
    </row>
    <row r="11" hidden="1">
      <c r="A11" s="2" t="n">
        <v>46309</v>
      </c>
      <c r="B11" t="inlineStr">
        <is>
          <t>Centre</t>
        </is>
      </c>
      <c r="C11" t="n">
        <v>56.9</v>
      </c>
      <c r="D11" t="n">
        <v>6.8</v>
      </c>
      <c r="E11" t="inlineStr">
        <is>
          <t>Historique</t>
        </is>
      </c>
    </row>
    <row r="12">
      <c r="A12" s="2" t="n">
        <v>46310</v>
      </c>
      <c r="B12" t="inlineStr">
        <is>
          <t>Nord</t>
        </is>
      </c>
      <c r="C12" t="n">
        <v>116.1</v>
      </c>
      <c r="D12" t="n">
        <v>7.9</v>
      </c>
      <c r="E12" t="inlineStr">
        <is>
          <t>Historique</t>
        </is>
      </c>
    </row>
    <row r="13" hidden="1">
      <c r="A13" s="2" t="n">
        <v>46310</v>
      </c>
      <c r="B13" t="inlineStr">
        <is>
          <t>Sud</t>
        </is>
      </c>
      <c r="C13" t="n">
        <v>101</v>
      </c>
      <c r="D13" t="n">
        <v>11.3</v>
      </c>
      <c r="E13" t="inlineStr">
        <is>
          <t>Historique</t>
        </is>
      </c>
    </row>
    <row r="14" hidden="1">
      <c r="A14" s="2" t="n">
        <v>46310</v>
      </c>
      <c r="B14" t="inlineStr">
        <is>
          <t>Est</t>
        </is>
      </c>
      <c r="C14" t="n">
        <v>79.8</v>
      </c>
      <c r="D14" t="n">
        <v>12.8</v>
      </c>
      <c r="E14" t="inlineStr">
        <is>
          <t>Historique</t>
        </is>
      </c>
    </row>
    <row r="15" hidden="1">
      <c r="A15" s="2" t="n">
        <v>46310</v>
      </c>
      <c r="B15" t="inlineStr">
        <is>
          <t>Ouest</t>
        </is>
      </c>
      <c r="C15" t="n">
        <v>63</v>
      </c>
      <c r="D15" t="n">
        <v>3.8</v>
      </c>
      <c r="E15" t="inlineStr">
        <is>
          <t>Historique</t>
        </is>
      </c>
    </row>
    <row r="16" hidden="1">
      <c r="A16" s="2" t="n">
        <v>46310</v>
      </c>
      <c r="B16" t="inlineStr">
        <is>
          <t>Centre</t>
        </is>
      </c>
      <c r="C16" t="n">
        <v>58.3</v>
      </c>
      <c r="D16" t="n">
        <v>4.7</v>
      </c>
      <c r="E16" t="inlineStr">
        <is>
          <t>Historique</t>
        </is>
      </c>
    </row>
    <row r="17">
      <c r="A17" s="2" t="n">
        <v>46311</v>
      </c>
      <c r="B17" t="inlineStr">
        <is>
          <t>Nord</t>
        </is>
      </c>
      <c r="C17" t="n">
        <v>114.6</v>
      </c>
      <c r="D17" t="n">
        <v>12.5</v>
      </c>
      <c r="E17" t="inlineStr">
        <is>
          <t>Historique</t>
        </is>
      </c>
    </row>
    <row r="18" hidden="1">
      <c r="A18" s="2" t="n">
        <v>46311</v>
      </c>
      <c r="B18" t="inlineStr">
        <is>
          <t>Sud</t>
        </is>
      </c>
      <c r="C18" t="n">
        <v>96.90000000000001</v>
      </c>
      <c r="D18" t="n">
        <v>5.5</v>
      </c>
      <c r="E18" t="inlineStr">
        <is>
          <t>Historique</t>
        </is>
      </c>
    </row>
    <row r="19" hidden="1">
      <c r="A19" s="2" t="n">
        <v>46311</v>
      </c>
      <c r="B19" t="inlineStr">
        <is>
          <t>Est</t>
        </is>
      </c>
      <c r="C19" t="n">
        <v>69.8</v>
      </c>
      <c r="D19" t="n">
        <v>9.4</v>
      </c>
      <c r="E19" t="inlineStr">
        <is>
          <t>Historique</t>
        </is>
      </c>
    </row>
    <row r="20" hidden="1">
      <c r="A20" s="2" t="n">
        <v>46311</v>
      </c>
      <c r="B20" t="inlineStr">
        <is>
          <t>Ouest</t>
        </is>
      </c>
      <c r="C20" t="n">
        <v>60.4</v>
      </c>
      <c r="D20" t="n">
        <v>5.1</v>
      </c>
      <c r="E20" t="inlineStr">
        <is>
          <t>Historique</t>
        </is>
      </c>
    </row>
    <row r="21" hidden="1">
      <c r="A21" s="2" t="n">
        <v>46311</v>
      </c>
      <c r="B21" t="inlineStr">
        <is>
          <t>Centre</t>
        </is>
      </c>
      <c r="C21" t="n">
        <v>59.1</v>
      </c>
      <c r="D21" t="n">
        <v>13.4</v>
      </c>
      <c r="E21" t="inlineStr">
        <is>
          <t>Historique</t>
        </is>
      </c>
    </row>
    <row r="22">
      <c r="A22" s="2" t="n">
        <v>46312</v>
      </c>
      <c r="B22" t="inlineStr">
        <is>
          <t>Nord</t>
        </is>
      </c>
      <c r="C22" t="n">
        <v>128.9</v>
      </c>
      <c r="D22" t="n">
        <v>10.8</v>
      </c>
      <c r="E22" t="inlineStr">
        <is>
          <t>Historique</t>
        </is>
      </c>
    </row>
    <row r="23" hidden="1">
      <c r="A23" s="2" t="n">
        <v>46312</v>
      </c>
      <c r="B23" t="inlineStr">
        <is>
          <t>Sud</t>
        </is>
      </c>
      <c r="C23" t="n">
        <v>86.2</v>
      </c>
      <c r="D23" t="n">
        <v>10.9</v>
      </c>
      <c r="E23" t="inlineStr">
        <is>
          <t>Historique</t>
        </is>
      </c>
    </row>
    <row r="24" hidden="1">
      <c r="A24" s="2" t="n">
        <v>46312</v>
      </c>
      <c r="B24" t="inlineStr">
        <is>
          <t>Est</t>
        </is>
      </c>
      <c r="C24" t="n">
        <v>90.8</v>
      </c>
      <c r="D24" t="n">
        <v>6.6</v>
      </c>
      <c r="E24" t="inlineStr">
        <is>
          <t>Historique</t>
        </is>
      </c>
    </row>
    <row r="25" hidden="1">
      <c r="A25" s="2" t="n">
        <v>46312</v>
      </c>
      <c r="B25" t="inlineStr">
        <is>
          <t>Ouest</t>
        </is>
      </c>
      <c r="C25" t="n">
        <v>69.7</v>
      </c>
      <c r="D25" t="n">
        <v>10.6</v>
      </c>
      <c r="E25" t="inlineStr">
        <is>
          <t>Historique</t>
        </is>
      </c>
    </row>
    <row r="26" hidden="1">
      <c r="A26" s="2" t="n">
        <v>46312</v>
      </c>
      <c r="B26" t="inlineStr">
        <is>
          <t>Centre</t>
        </is>
      </c>
      <c r="C26" t="n">
        <v>64.59999999999999</v>
      </c>
      <c r="D26" t="n">
        <v>6.5</v>
      </c>
      <c r="E26" t="inlineStr">
        <is>
          <t>Historique</t>
        </is>
      </c>
    </row>
    <row r="27">
      <c r="A27" s="2" t="n">
        <v>46313</v>
      </c>
      <c r="B27" t="inlineStr">
        <is>
          <t>Nord</t>
        </is>
      </c>
      <c r="C27" t="n">
        <v>114.8</v>
      </c>
      <c r="D27" t="n">
        <v>15.7</v>
      </c>
      <c r="E27" t="inlineStr">
        <is>
          <t>Historique</t>
        </is>
      </c>
    </row>
    <row r="28" hidden="1">
      <c r="A28" s="2" t="n">
        <v>46313</v>
      </c>
      <c r="B28" t="inlineStr">
        <is>
          <t>Sud</t>
        </is>
      </c>
      <c r="C28" t="n">
        <v>86.3</v>
      </c>
      <c r="D28" t="n">
        <v>6.4</v>
      </c>
      <c r="E28" t="inlineStr">
        <is>
          <t>Historique</t>
        </is>
      </c>
    </row>
    <row r="29" hidden="1">
      <c r="A29" s="2" t="n">
        <v>46313</v>
      </c>
      <c r="B29" t="inlineStr">
        <is>
          <t>Est</t>
        </is>
      </c>
      <c r="C29" t="n">
        <v>69.2</v>
      </c>
      <c r="D29" t="n">
        <v>8.9</v>
      </c>
      <c r="E29" t="inlineStr">
        <is>
          <t>Historique</t>
        </is>
      </c>
    </row>
    <row r="30" hidden="1">
      <c r="A30" s="2" t="n">
        <v>46313</v>
      </c>
      <c r="B30" t="inlineStr">
        <is>
          <t>Ouest</t>
        </is>
      </c>
      <c r="C30" t="n">
        <v>68.59999999999999</v>
      </c>
      <c r="D30" t="n">
        <v>4.7</v>
      </c>
      <c r="E30" t="inlineStr">
        <is>
          <t>Historique</t>
        </is>
      </c>
    </row>
    <row r="31" hidden="1">
      <c r="A31" s="2" t="n">
        <v>46313</v>
      </c>
      <c r="B31" t="inlineStr">
        <is>
          <t>Centre</t>
        </is>
      </c>
      <c r="C31" t="n">
        <v>65.2</v>
      </c>
      <c r="D31" t="n">
        <v>12.1</v>
      </c>
      <c r="E31" t="inlineStr">
        <is>
          <t>Historique</t>
        </is>
      </c>
    </row>
    <row r="32">
      <c r="A32" s="2" t="n">
        <v>46314</v>
      </c>
      <c r="B32" t="inlineStr">
        <is>
          <t>Nord</t>
        </is>
      </c>
      <c r="C32" t="n">
        <v>118.9</v>
      </c>
      <c r="D32" t="n">
        <v>14.4</v>
      </c>
      <c r="E32" t="inlineStr">
        <is>
          <t>Historique</t>
        </is>
      </c>
    </row>
    <row r="33" hidden="1">
      <c r="A33" s="2" t="n">
        <v>46314</v>
      </c>
      <c r="B33" t="inlineStr">
        <is>
          <t>Sud</t>
        </is>
      </c>
      <c r="C33" t="n">
        <v>98.3</v>
      </c>
      <c r="D33" t="n">
        <v>12.4</v>
      </c>
      <c r="E33" t="inlineStr">
        <is>
          <t>Historique</t>
        </is>
      </c>
    </row>
    <row r="34" hidden="1">
      <c r="A34" s="2" t="n">
        <v>46314</v>
      </c>
      <c r="B34" t="inlineStr">
        <is>
          <t>Est</t>
        </is>
      </c>
      <c r="C34" t="n">
        <v>90.5</v>
      </c>
      <c r="D34" t="n">
        <v>2.3</v>
      </c>
      <c r="E34" t="inlineStr">
        <is>
          <t>Historique</t>
        </is>
      </c>
    </row>
    <row r="35" hidden="1">
      <c r="A35" s="2" t="n">
        <v>46314</v>
      </c>
      <c r="B35" t="inlineStr">
        <is>
          <t>Ouest</t>
        </is>
      </c>
      <c r="C35" t="n">
        <v>69</v>
      </c>
      <c r="D35" t="n">
        <v>11.4</v>
      </c>
      <c r="E35" t="inlineStr">
        <is>
          <t>Historique</t>
        </is>
      </c>
    </row>
    <row r="36" hidden="1">
      <c r="A36" s="2" t="n">
        <v>46314</v>
      </c>
      <c r="B36" t="inlineStr">
        <is>
          <t>Centre</t>
        </is>
      </c>
      <c r="C36" t="n">
        <v>60.9</v>
      </c>
      <c r="D36" t="n">
        <v>5.6</v>
      </c>
      <c r="E36" t="inlineStr">
        <is>
          <t>Historique</t>
        </is>
      </c>
    </row>
    <row r="37">
      <c r="A37" s="2" t="n">
        <v>46315</v>
      </c>
      <c r="B37" t="inlineStr">
        <is>
          <t>Nord</t>
        </is>
      </c>
      <c r="C37" t="n">
        <v>111.4</v>
      </c>
      <c r="D37" t="n">
        <v>2.2</v>
      </c>
      <c r="E37" t="inlineStr">
        <is>
          <t>Historique</t>
        </is>
      </c>
    </row>
    <row r="38" hidden="1">
      <c r="A38" s="2" t="n">
        <v>46315</v>
      </c>
      <c r="B38" t="inlineStr">
        <is>
          <t>Sud</t>
        </is>
      </c>
      <c r="C38" t="n">
        <v>100</v>
      </c>
      <c r="D38" t="n">
        <v>12.1</v>
      </c>
      <c r="E38" t="inlineStr">
        <is>
          <t>Historique</t>
        </is>
      </c>
    </row>
    <row r="39" hidden="1">
      <c r="A39" s="2" t="n">
        <v>46315</v>
      </c>
      <c r="B39" t="inlineStr">
        <is>
          <t>Est</t>
        </is>
      </c>
      <c r="C39" t="n">
        <v>74</v>
      </c>
      <c r="D39" t="n">
        <v>3.4</v>
      </c>
      <c r="E39" t="inlineStr">
        <is>
          <t>Historique</t>
        </is>
      </c>
    </row>
    <row r="40" hidden="1">
      <c r="A40" s="2" t="n">
        <v>46315</v>
      </c>
      <c r="B40" t="inlineStr">
        <is>
          <t>Ouest</t>
        </is>
      </c>
      <c r="C40" t="n">
        <v>72.40000000000001</v>
      </c>
      <c r="D40" t="n">
        <v>2.6</v>
      </c>
      <c r="E40" t="inlineStr">
        <is>
          <t>Historique</t>
        </is>
      </c>
    </row>
    <row r="41" hidden="1">
      <c r="A41" s="2" t="n">
        <v>46315</v>
      </c>
      <c r="B41" t="inlineStr">
        <is>
          <t>Centre</t>
        </is>
      </c>
      <c r="C41" t="n">
        <v>53.7</v>
      </c>
      <c r="D41" t="n">
        <v>10.2</v>
      </c>
      <c r="E41" t="inlineStr">
        <is>
          <t>Historique</t>
        </is>
      </c>
    </row>
    <row r="42">
      <c r="A42" s="2" t="n">
        <v>46316</v>
      </c>
      <c r="B42" t="inlineStr">
        <is>
          <t>Nord</t>
        </is>
      </c>
      <c r="C42" t="n">
        <v>132.4</v>
      </c>
      <c r="D42" t="n">
        <v>5.9</v>
      </c>
      <c r="E42" t="inlineStr">
        <is>
          <t>Historique</t>
        </is>
      </c>
    </row>
    <row r="43" hidden="1">
      <c r="A43" s="2" t="n">
        <v>46316</v>
      </c>
      <c r="B43" t="inlineStr">
        <is>
          <t>Sud</t>
        </is>
      </c>
      <c r="C43" t="n">
        <v>91.40000000000001</v>
      </c>
      <c r="D43" t="n">
        <v>3.4</v>
      </c>
      <c r="E43" t="inlineStr">
        <is>
          <t>Historique</t>
        </is>
      </c>
    </row>
    <row r="44" hidden="1">
      <c r="A44" s="2" t="n">
        <v>46316</v>
      </c>
      <c r="B44" t="inlineStr">
        <is>
          <t>Est</t>
        </is>
      </c>
      <c r="C44" t="n">
        <v>79.2</v>
      </c>
      <c r="D44" t="n">
        <v>5.5</v>
      </c>
      <c r="E44" t="inlineStr">
        <is>
          <t>Historique</t>
        </is>
      </c>
    </row>
    <row r="45" hidden="1">
      <c r="A45" s="2" t="n">
        <v>46316</v>
      </c>
      <c r="B45" t="inlineStr">
        <is>
          <t>Ouest</t>
        </is>
      </c>
      <c r="C45" t="n">
        <v>60</v>
      </c>
      <c r="D45" t="n">
        <v>5.8</v>
      </c>
      <c r="E45" t="inlineStr">
        <is>
          <t>Historique</t>
        </is>
      </c>
    </row>
    <row r="46" hidden="1">
      <c r="A46" s="2" t="n">
        <v>46316</v>
      </c>
      <c r="B46" t="inlineStr">
        <is>
          <t>Centre</t>
        </is>
      </c>
      <c r="C46" t="n">
        <v>53.6</v>
      </c>
      <c r="D46" t="n">
        <v>4.2</v>
      </c>
      <c r="E46" t="inlineStr">
        <is>
          <t>Historique</t>
        </is>
      </c>
    </row>
    <row r="47">
      <c r="A47" s="2" t="n">
        <v>46317</v>
      </c>
      <c r="B47" t="inlineStr">
        <is>
          <t>Nord</t>
        </is>
      </c>
      <c r="C47" t="n">
        <v>129.9</v>
      </c>
      <c r="D47" t="n">
        <v>7.7</v>
      </c>
      <c r="E47" t="inlineStr">
        <is>
          <t>Historique</t>
        </is>
      </c>
    </row>
    <row r="48" hidden="1">
      <c r="A48" s="2" t="n">
        <v>46317</v>
      </c>
      <c r="B48" t="inlineStr">
        <is>
          <t>Sud</t>
        </is>
      </c>
      <c r="C48" t="n">
        <v>91</v>
      </c>
      <c r="D48" t="n">
        <v>12.4</v>
      </c>
      <c r="E48" t="inlineStr">
        <is>
          <t>Historique</t>
        </is>
      </c>
    </row>
    <row r="49" hidden="1">
      <c r="A49" s="2" t="n">
        <v>46317</v>
      </c>
      <c r="B49" t="inlineStr">
        <is>
          <t>Est</t>
        </is>
      </c>
      <c r="C49" t="n">
        <v>70.3</v>
      </c>
      <c r="D49" t="n">
        <v>11.3</v>
      </c>
      <c r="E49" t="inlineStr">
        <is>
          <t>Historique</t>
        </is>
      </c>
    </row>
    <row r="50" hidden="1">
      <c r="A50" s="2" t="n">
        <v>46317</v>
      </c>
      <c r="B50" t="inlineStr">
        <is>
          <t>Ouest</t>
        </is>
      </c>
      <c r="C50" t="n">
        <v>60.4</v>
      </c>
      <c r="D50" t="n">
        <v>5.8</v>
      </c>
      <c r="E50" t="inlineStr">
        <is>
          <t>Historique</t>
        </is>
      </c>
    </row>
    <row r="51" hidden="1">
      <c r="A51" s="2" t="n">
        <v>46317</v>
      </c>
      <c r="B51" t="inlineStr">
        <is>
          <t>Centre</t>
        </is>
      </c>
      <c r="C51" t="n">
        <v>67.90000000000001</v>
      </c>
      <c r="D51" t="n">
        <v>10.5</v>
      </c>
      <c r="E51" t="inlineStr">
        <is>
          <t>Historique</t>
        </is>
      </c>
    </row>
    <row r="52">
      <c r="A52" s="2" t="n">
        <v>46318</v>
      </c>
      <c r="B52" t="inlineStr">
        <is>
          <t>Nord</t>
        </is>
      </c>
      <c r="C52" t="n">
        <v>112.5</v>
      </c>
      <c r="D52" t="n">
        <v>3.8</v>
      </c>
      <c r="E52" t="inlineStr">
        <is>
          <t>Historique</t>
        </is>
      </c>
    </row>
    <row r="53" hidden="1">
      <c r="A53" s="2" t="n">
        <v>46318</v>
      </c>
      <c r="B53" t="inlineStr">
        <is>
          <t>Sud</t>
        </is>
      </c>
      <c r="C53" t="n">
        <v>102</v>
      </c>
      <c r="D53" t="n">
        <v>9.699999999999999</v>
      </c>
      <c r="E53" t="inlineStr">
        <is>
          <t>Historique</t>
        </is>
      </c>
    </row>
    <row r="54" hidden="1">
      <c r="A54" s="2" t="n">
        <v>46318</v>
      </c>
      <c r="B54" t="inlineStr">
        <is>
          <t>Est</t>
        </is>
      </c>
      <c r="C54" t="n">
        <v>75.7</v>
      </c>
      <c r="D54" t="n">
        <v>2.6</v>
      </c>
      <c r="E54" t="inlineStr">
        <is>
          <t>Historique</t>
        </is>
      </c>
    </row>
    <row r="55" hidden="1">
      <c r="A55" s="2" t="n">
        <v>46318</v>
      </c>
      <c r="B55" t="inlineStr">
        <is>
          <t>Ouest</t>
        </is>
      </c>
      <c r="C55" t="n">
        <v>73.90000000000001</v>
      </c>
      <c r="D55" t="n">
        <v>12</v>
      </c>
      <c r="E55" t="inlineStr">
        <is>
          <t>Historique</t>
        </is>
      </c>
    </row>
    <row r="56" hidden="1">
      <c r="A56" s="2" t="n">
        <v>46318</v>
      </c>
      <c r="B56" t="inlineStr">
        <is>
          <t>Centre</t>
        </is>
      </c>
      <c r="C56" t="n">
        <v>62.5</v>
      </c>
      <c r="D56" t="n">
        <v>11.5</v>
      </c>
      <c r="E56" t="inlineStr">
        <is>
          <t>Historique</t>
        </is>
      </c>
    </row>
    <row r="57">
      <c r="A57" s="2" t="n">
        <v>46319</v>
      </c>
      <c r="B57" t="inlineStr">
        <is>
          <t>Nord</t>
        </is>
      </c>
      <c r="C57" t="n">
        <v>132.7</v>
      </c>
      <c r="D57" t="n">
        <v>5.9</v>
      </c>
      <c r="E57" t="inlineStr">
        <is>
          <t>Historique</t>
        </is>
      </c>
    </row>
    <row r="58" hidden="1">
      <c r="A58" s="2" t="n">
        <v>46319</v>
      </c>
      <c r="B58" t="inlineStr">
        <is>
          <t>Sud</t>
        </is>
      </c>
      <c r="C58" t="n">
        <v>88.09999999999999</v>
      </c>
      <c r="D58" t="n">
        <v>2.5</v>
      </c>
      <c r="E58" t="inlineStr">
        <is>
          <t>Historique</t>
        </is>
      </c>
    </row>
    <row r="59" hidden="1">
      <c r="A59" s="2" t="n">
        <v>46319</v>
      </c>
      <c r="B59" t="inlineStr">
        <is>
          <t>Est</t>
        </is>
      </c>
      <c r="C59" t="n">
        <v>86.7</v>
      </c>
      <c r="D59" t="n">
        <v>2.7</v>
      </c>
      <c r="E59" t="inlineStr">
        <is>
          <t>Historique</t>
        </is>
      </c>
    </row>
    <row r="60" hidden="1">
      <c r="A60" s="2" t="n">
        <v>46319</v>
      </c>
      <c r="B60" t="inlineStr">
        <is>
          <t>Ouest</t>
        </is>
      </c>
      <c r="C60" t="n">
        <v>80.2</v>
      </c>
      <c r="D60" t="n">
        <v>12.6</v>
      </c>
      <c r="E60" t="inlineStr">
        <is>
          <t>Historique</t>
        </is>
      </c>
    </row>
    <row r="61" hidden="1">
      <c r="A61" s="2" t="n">
        <v>46319</v>
      </c>
      <c r="B61" t="inlineStr">
        <is>
          <t>Centre</t>
        </is>
      </c>
      <c r="C61" t="n">
        <v>54.8</v>
      </c>
      <c r="D61" t="n">
        <v>12.3</v>
      </c>
      <c r="E61" t="inlineStr">
        <is>
          <t>Historique</t>
        </is>
      </c>
    </row>
    <row r="62">
      <c r="A62" s="2" t="n">
        <v>46320</v>
      </c>
      <c r="B62" t="inlineStr">
        <is>
          <t>Nord</t>
        </is>
      </c>
      <c r="C62" t="n">
        <v>128.4</v>
      </c>
      <c r="D62" t="n">
        <v>2.6</v>
      </c>
      <c r="E62" t="inlineStr">
        <is>
          <t>Historique</t>
        </is>
      </c>
    </row>
    <row r="63" hidden="1">
      <c r="A63" s="2" t="n">
        <v>46320</v>
      </c>
      <c r="B63" t="inlineStr">
        <is>
          <t>Sud</t>
        </is>
      </c>
      <c r="C63" t="n">
        <v>105.8</v>
      </c>
      <c r="D63" t="n">
        <v>7.4</v>
      </c>
      <c r="E63" t="inlineStr">
        <is>
          <t>Historique</t>
        </is>
      </c>
    </row>
    <row r="64" hidden="1">
      <c r="A64" s="2" t="n">
        <v>46320</v>
      </c>
      <c r="B64" t="inlineStr">
        <is>
          <t>Est</t>
        </is>
      </c>
      <c r="C64" t="n">
        <v>90.7</v>
      </c>
      <c r="D64" t="n">
        <v>14.3</v>
      </c>
      <c r="E64" t="inlineStr">
        <is>
          <t>Historique</t>
        </is>
      </c>
    </row>
    <row r="65" hidden="1">
      <c r="A65" s="2" t="n">
        <v>46320</v>
      </c>
      <c r="B65" t="inlineStr">
        <is>
          <t>Ouest</t>
        </is>
      </c>
      <c r="C65" t="n">
        <v>72.59999999999999</v>
      </c>
      <c r="D65" t="n">
        <v>7.7</v>
      </c>
      <c r="E65" t="inlineStr">
        <is>
          <t>Historique</t>
        </is>
      </c>
    </row>
    <row r="66" hidden="1">
      <c r="A66" s="2" t="n">
        <v>46320</v>
      </c>
      <c r="B66" t="inlineStr">
        <is>
          <t>Centre</t>
        </is>
      </c>
      <c r="C66" t="n">
        <v>66.7</v>
      </c>
      <c r="D66" t="n">
        <v>11.6</v>
      </c>
      <c r="E66" t="inlineStr">
        <is>
          <t>Historique</t>
        </is>
      </c>
    </row>
    <row r="67">
      <c r="A67" s="2" t="n">
        <v>46321</v>
      </c>
      <c r="B67" t="inlineStr">
        <is>
          <t>Nord</t>
        </is>
      </c>
      <c r="C67" t="n">
        <v>107.9</v>
      </c>
      <c r="D67" t="n">
        <v>6.2</v>
      </c>
      <c r="E67" t="inlineStr">
        <is>
          <t>Historique</t>
        </is>
      </c>
    </row>
    <row r="68" hidden="1">
      <c r="A68" s="2" t="n">
        <v>46321</v>
      </c>
      <c r="B68" t="inlineStr">
        <is>
          <t>Sud</t>
        </is>
      </c>
      <c r="C68" t="n">
        <v>85.2</v>
      </c>
      <c r="D68" t="n">
        <v>7.9</v>
      </c>
      <c r="E68" t="inlineStr">
        <is>
          <t>Historique</t>
        </is>
      </c>
    </row>
    <row r="69" hidden="1">
      <c r="A69" s="2" t="n">
        <v>46321</v>
      </c>
      <c r="B69" t="inlineStr">
        <is>
          <t>Est</t>
        </is>
      </c>
      <c r="C69" t="n">
        <v>72.7</v>
      </c>
      <c r="D69" t="n">
        <v>15.8</v>
      </c>
      <c r="E69" t="inlineStr">
        <is>
          <t>Historique</t>
        </is>
      </c>
    </row>
    <row r="70" hidden="1">
      <c r="A70" s="2" t="n">
        <v>46321</v>
      </c>
      <c r="B70" t="inlineStr">
        <is>
          <t>Ouest</t>
        </is>
      </c>
      <c r="C70" t="n">
        <v>65.8</v>
      </c>
      <c r="D70" t="n">
        <v>13.3</v>
      </c>
      <c r="E70" t="inlineStr">
        <is>
          <t>Historique</t>
        </is>
      </c>
    </row>
    <row r="71" hidden="1">
      <c r="A71" s="2" t="n">
        <v>46321</v>
      </c>
      <c r="B71" t="inlineStr">
        <is>
          <t>Centre</t>
        </is>
      </c>
      <c r="C71" t="n">
        <v>51.9</v>
      </c>
      <c r="D71" t="n">
        <v>14.6</v>
      </c>
      <c r="E71" t="inlineStr">
        <is>
          <t>Historique</t>
        </is>
      </c>
    </row>
    <row r="72">
      <c r="A72" s="2" t="n">
        <v>46322</v>
      </c>
      <c r="B72" t="inlineStr">
        <is>
          <t>Nord</t>
        </is>
      </c>
      <c r="C72" t="n">
        <v>111.7</v>
      </c>
      <c r="D72" t="n">
        <v>10.6</v>
      </c>
      <c r="E72" t="inlineStr">
        <is>
          <t>Phase de test</t>
        </is>
      </c>
    </row>
    <row r="73" hidden="1">
      <c r="A73" s="2" t="n">
        <v>46322</v>
      </c>
      <c r="B73" t="inlineStr">
        <is>
          <t>Sud</t>
        </is>
      </c>
      <c r="C73" t="n">
        <v>96.90000000000001</v>
      </c>
      <c r="D73" t="n">
        <v>12.6</v>
      </c>
      <c r="E73" t="inlineStr">
        <is>
          <t>Phase de test</t>
        </is>
      </c>
    </row>
    <row r="74" hidden="1">
      <c r="A74" s="2" t="n">
        <v>46322</v>
      </c>
      <c r="B74" t="inlineStr">
        <is>
          <t>Est</t>
        </is>
      </c>
      <c r="C74" t="n">
        <v>71.2</v>
      </c>
      <c r="D74" t="n">
        <v>13.5</v>
      </c>
      <c r="E74" t="inlineStr">
        <is>
          <t>Phase de test</t>
        </is>
      </c>
    </row>
    <row r="75" hidden="1">
      <c r="A75" s="2" t="n">
        <v>46322</v>
      </c>
      <c r="B75" t="inlineStr">
        <is>
          <t>Ouest</t>
        </is>
      </c>
      <c r="C75" t="n">
        <v>77.59999999999999</v>
      </c>
      <c r="D75" t="n">
        <v>6.4</v>
      </c>
      <c r="E75" t="inlineStr">
        <is>
          <t>Phase de test</t>
        </is>
      </c>
    </row>
    <row r="76" hidden="1">
      <c r="A76" s="2" t="n">
        <v>46322</v>
      </c>
      <c r="B76" t="inlineStr">
        <is>
          <t>Centre</t>
        </is>
      </c>
      <c r="C76" t="n">
        <v>68.40000000000001</v>
      </c>
      <c r="D76" t="n">
        <v>11.8</v>
      </c>
      <c r="E76" t="inlineStr">
        <is>
          <t>Phase de test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tabSelected="1" workbookViewId="0">
      <selection activeCell="A1" sqref="A1"/>
    </sheetView>
  </sheetViews>
  <sheetFormatPr baseColWidth="10" defaultColWidth="9.140625" defaultRowHeight="15"/>
  <cols>
    <col width="63.42578125" bestFit="1" customWidth="1" min="1" max="1"/>
    <col width="23.85546875" bestFit="1" customWidth="1" min="2" max="2"/>
    <col width="9.140625" bestFit="1" customWidth="1" min="3" max="3"/>
    <col width="21.5703125" bestFit="1" customWidth="1" min="4" max="4"/>
    <col width="9.140625" bestFit="1" customWidth="1" min="5" max="6"/>
    <col width="12.85546875" bestFit="1" customWidth="1" min="7" max="7"/>
    <col width="5.42578125" bestFit="1" customWidth="1" min="8" max="8"/>
  </cols>
  <sheetData>
    <row r="1" ht="18.75" customHeight="1">
      <c r="A1" s="3" t="inlineStr">
        <is>
          <t>Suivi distribution gaz - mis a jour le 27/10/2026 00:16</t>
        </is>
      </c>
    </row>
    <row r="2">
      <c r="A2" s="4" t="inlineStr">
        <is>
          <t>Volume total (GWh)</t>
        </is>
      </c>
      <c r="B2" s="10">
        <f>SUM(tblDonnees[Volume_GWh])</f>
        <v/>
      </c>
      <c r="D2" s="4" t="inlineStr">
        <is>
          <t>Moyenne / jour (GWh)</t>
        </is>
      </c>
      <c r="E2" s="10">
        <f>SUM(tblDonnees[Volume_GWh])/SUMPRODUCT(1/COUNTIF(tblDonnees[Date],tblDonnees[Date]))</f>
        <v/>
      </c>
      <c r="G2" s="4" t="inlineStr">
        <is>
          <t>Region du pic</t>
        </is>
      </c>
      <c r="H2">
        <f>INDEX(tblDonnees[Region],MATCH(MAX(tblDonnees[Volume_GWh]),tblDonnees[Volume_GWh],0))</f>
        <v/>
      </c>
    </row>
    <row r="5">
      <c r="A5" s="7" t="inlineStr">
        <is>
          <t>Volume (GWh)</t>
        </is>
      </c>
      <c r="B5" s="7" t="inlineStr">
        <is>
          <t>Étiquettes de colonnes</t>
        </is>
      </c>
    </row>
    <row r="6">
      <c r="A6" s="7" t="inlineStr">
        <is>
          <t>Étiquettes de lignes</t>
        </is>
      </c>
      <c r="B6" t="inlineStr">
        <is>
          <t>Centre</t>
        </is>
      </c>
      <c r="C6" t="inlineStr">
        <is>
          <t>Est</t>
        </is>
      </c>
      <c r="D6" t="inlineStr">
        <is>
          <t>Nord</t>
        </is>
      </c>
      <c r="E6" t="inlineStr">
        <is>
          <t>Ouest</t>
        </is>
      </c>
      <c r="F6" t="inlineStr">
        <is>
          <t>Sud</t>
        </is>
      </c>
      <c r="G6" t="inlineStr">
        <is>
          <t>Total général</t>
        </is>
      </c>
    </row>
    <row r="7">
      <c r="A7" s="8" t="n">
        <v>46308</v>
      </c>
      <c r="B7" s="11" t="n">
        <v>64.8</v>
      </c>
      <c r="C7" s="11" t="n">
        <v>73.90000000000001</v>
      </c>
      <c r="D7" s="11" t="n">
        <v>113.9</v>
      </c>
      <c r="E7" s="11" t="n">
        <v>76.40000000000001</v>
      </c>
      <c r="F7" s="11" t="n">
        <v>99.09999999999999</v>
      </c>
      <c r="G7" s="11" t="n">
        <v>428.1</v>
      </c>
    </row>
    <row r="8">
      <c r="A8" s="8" t="n">
        <v>46309</v>
      </c>
      <c r="B8" s="11" t="n">
        <v>56.9</v>
      </c>
      <c r="C8" s="11" t="n">
        <v>76.2</v>
      </c>
      <c r="D8" s="11" t="n">
        <v>117.9</v>
      </c>
      <c r="E8" s="11" t="n">
        <v>72.90000000000001</v>
      </c>
      <c r="F8" s="11" t="n">
        <v>87.59999999999999</v>
      </c>
      <c r="G8" s="11" t="n">
        <v>411.5</v>
      </c>
    </row>
    <row r="9">
      <c r="A9" s="8" t="n">
        <v>46310</v>
      </c>
      <c r="B9" s="11" t="n">
        <v>58.3</v>
      </c>
      <c r="C9" s="11" t="n">
        <v>79.8</v>
      </c>
      <c r="D9" s="11" t="n">
        <v>116.1</v>
      </c>
      <c r="E9" s="11" t="n">
        <v>63</v>
      </c>
      <c r="F9" s="11" t="n">
        <v>101</v>
      </c>
      <c r="G9" s="11" t="n">
        <v>418.2</v>
      </c>
    </row>
    <row r="10">
      <c r="A10" s="8" t="n">
        <v>46311</v>
      </c>
      <c r="B10" s="11" t="n">
        <v>59.1</v>
      </c>
      <c r="C10" s="11" t="n">
        <v>69.8</v>
      </c>
      <c r="D10" s="11" t="n">
        <v>114.6</v>
      </c>
      <c r="E10" s="11" t="n">
        <v>60.4</v>
      </c>
      <c r="F10" s="11" t="n">
        <v>96.90000000000001</v>
      </c>
      <c r="G10" s="11" t="n">
        <v>400.8</v>
      </c>
    </row>
    <row r="11">
      <c r="A11" s="8" t="n">
        <v>46312</v>
      </c>
      <c r="B11" s="11" t="n">
        <v>64.59999999999999</v>
      </c>
      <c r="C11" s="11" t="n">
        <v>90.8</v>
      </c>
      <c r="D11" s="11" t="n">
        <v>128.9</v>
      </c>
      <c r="E11" s="11" t="n">
        <v>69.7</v>
      </c>
      <c r="F11" s="11" t="n">
        <v>86.2</v>
      </c>
      <c r="G11" s="11" t="n">
        <v>440.1999999999999</v>
      </c>
    </row>
    <row r="12">
      <c r="A12" s="8" t="n">
        <v>46313</v>
      </c>
      <c r="B12" s="11" t="n">
        <v>65.2</v>
      </c>
      <c r="C12" s="11" t="n">
        <v>69.2</v>
      </c>
      <c r="D12" s="11" t="n">
        <v>114.8</v>
      </c>
      <c r="E12" s="11" t="n">
        <v>68.59999999999999</v>
      </c>
      <c r="F12" s="11" t="n">
        <v>86.3</v>
      </c>
      <c r="G12" s="11" t="n">
        <v>404.1</v>
      </c>
    </row>
    <row r="13">
      <c r="A13" s="8" t="n">
        <v>46314</v>
      </c>
      <c r="B13" s="11" t="n">
        <v>60.9</v>
      </c>
      <c r="C13" s="11" t="n">
        <v>90.5</v>
      </c>
      <c r="D13" s="11" t="n">
        <v>118.9</v>
      </c>
      <c r="E13" s="11" t="n">
        <v>69</v>
      </c>
      <c r="F13" s="11" t="n">
        <v>98.3</v>
      </c>
      <c r="G13" s="11" t="n">
        <v>437.6</v>
      </c>
    </row>
    <row r="14">
      <c r="A14" s="8" t="n">
        <v>46315</v>
      </c>
      <c r="B14" s="11" t="n">
        <v>53.7</v>
      </c>
      <c r="C14" s="11" t="n">
        <v>74</v>
      </c>
      <c r="D14" s="11" t="n">
        <v>111.4</v>
      </c>
      <c r="E14" s="11" t="n">
        <v>72.40000000000001</v>
      </c>
      <c r="F14" s="11" t="n">
        <v>100</v>
      </c>
      <c r="G14" s="11" t="n">
        <v>411.5</v>
      </c>
    </row>
    <row r="15">
      <c r="A15" s="8" t="n">
        <v>46316</v>
      </c>
      <c r="B15" s="11" t="n">
        <v>53.6</v>
      </c>
      <c r="C15" s="11" t="n">
        <v>79.2</v>
      </c>
      <c r="D15" s="11" t="n">
        <v>132.4</v>
      </c>
      <c r="E15" s="11" t="n">
        <v>60</v>
      </c>
      <c r="F15" s="11" t="n">
        <v>91.40000000000001</v>
      </c>
      <c r="G15" s="11" t="n">
        <v>416.6</v>
      </c>
    </row>
    <row r="16">
      <c r="A16" s="8" t="n">
        <v>46317</v>
      </c>
      <c r="B16" s="11" t="n">
        <v>67.90000000000001</v>
      </c>
      <c r="C16" s="11" t="n">
        <v>70.3</v>
      </c>
      <c r="D16" s="11" t="n">
        <v>129.9</v>
      </c>
      <c r="E16" s="11" t="n">
        <v>60.4</v>
      </c>
      <c r="F16" s="11" t="n">
        <v>91</v>
      </c>
      <c r="G16" s="11" t="n">
        <v>419.5</v>
      </c>
    </row>
    <row r="17">
      <c r="A17" s="8" t="n">
        <v>46318</v>
      </c>
      <c r="B17" s="11" t="n">
        <v>62.5</v>
      </c>
      <c r="C17" s="11" t="n">
        <v>75.7</v>
      </c>
      <c r="D17" s="11" t="n">
        <v>112.5</v>
      </c>
      <c r="E17" s="11" t="n">
        <v>73.90000000000001</v>
      </c>
      <c r="F17" s="11" t="n">
        <v>102</v>
      </c>
      <c r="G17" s="11" t="n">
        <v>426.6</v>
      </c>
    </row>
    <row r="18">
      <c r="A18" s="8" t="n">
        <v>46319</v>
      </c>
      <c r="B18" s="11" t="n">
        <v>54.8</v>
      </c>
      <c r="C18" s="11" t="n">
        <v>86.7</v>
      </c>
      <c r="D18" s="11" t="n">
        <v>132.7</v>
      </c>
      <c r="E18" s="11" t="n">
        <v>80.2</v>
      </c>
      <c r="F18" s="11" t="n">
        <v>88.09999999999999</v>
      </c>
      <c r="G18" s="11" t="n">
        <v>442.5</v>
      </c>
    </row>
    <row r="19">
      <c r="A19" s="8" t="n">
        <v>46320</v>
      </c>
      <c r="B19" s="11" t="n">
        <v>66.7</v>
      </c>
      <c r="C19" s="11" t="n">
        <v>90.7</v>
      </c>
      <c r="D19" s="11" t="n">
        <v>128.4</v>
      </c>
      <c r="E19" s="11" t="n">
        <v>72.59999999999999</v>
      </c>
      <c r="F19" s="11" t="n">
        <v>105.8</v>
      </c>
      <c r="G19" s="11" t="n">
        <v>464.2</v>
      </c>
    </row>
    <row r="20">
      <c r="A20" s="8" t="n">
        <v>46321</v>
      </c>
      <c r="B20" s="11" t="n">
        <v>51.9</v>
      </c>
      <c r="C20" s="11" t="n">
        <v>72.7</v>
      </c>
      <c r="D20" s="11" t="n">
        <v>107.9</v>
      </c>
      <c r="E20" s="11" t="n">
        <v>65.8</v>
      </c>
      <c r="F20" s="11" t="n">
        <v>85.2</v>
      </c>
      <c r="G20" s="11" t="n">
        <v>383.5</v>
      </c>
    </row>
    <row r="21">
      <c r="A21" s="8" t="n">
        <v>46322</v>
      </c>
      <c r="B21" s="11" t="n">
        <v>68.40000000000001</v>
      </c>
      <c r="C21" s="11" t="n">
        <v>71.2</v>
      </c>
      <c r="D21" s="11" t="n">
        <v>111.7</v>
      </c>
      <c r="E21" s="11" t="n">
        <v>77.59999999999999</v>
      </c>
      <c r="F21" s="11" t="n">
        <v>96.90000000000001</v>
      </c>
      <c r="G21" s="11" t="n">
        <v>425.8</v>
      </c>
    </row>
    <row r="22">
      <c r="A22" s="8" t="inlineStr">
        <is>
          <t>Total général</t>
        </is>
      </c>
      <c r="B22" s="11" t="n">
        <v>909.2999999999998</v>
      </c>
      <c r="C22" s="11" t="n">
        <v>1170.7</v>
      </c>
      <c r="D22" s="11" t="n">
        <v>1792</v>
      </c>
      <c r="E22" s="11" t="n">
        <v>1042.9</v>
      </c>
      <c r="F22" s="11" t="n">
        <v>1415.8</v>
      </c>
      <c r="G22" s="11" t="n">
        <v>6330.7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10" defaultColWidth="9.140625" defaultRowHeight="15"/>
  <sheetData>
    <row r="1">
      <c r="A1" t="inlineStr">
        <is>
          <t>Horodatage</t>
        </is>
      </c>
      <c r="B1" t="inlineStr">
        <is>
          <t>Niveau</t>
        </is>
      </c>
      <c r="C1" t="inlineStr">
        <is>
          <t>Message</t>
        </is>
      </c>
    </row>
    <row r="2">
      <c r="A2" s="12" t="n">
        <v>46322.01116472222</v>
      </c>
      <c r="B2" t="inlineStr">
        <is>
          <t>INFO</t>
        </is>
      </c>
      <c r="C2" t="inlineStr">
        <is>
          <t>Structure initiale creee</t>
        </is>
      </c>
    </row>
    <row r="3">
      <c r="A3" s="12" t="n">
        <v>46322.01116472222</v>
      </c>
      <c r="B3" t="inlineStr">
        <is>
          <t>INFO</t>
        </is>
      </c>
      <c r="C3" t="inlineStr">
        <is>
          <t>5 ligne(s) ajoutee(s) pour le 27/10/2026</t>
        </is>
      </c>
    </row>
    <row r="4">
      <c r="A4" s="12" t="n">
        <v>46322.0111647338</v>
      </c>
      <c r="B4" t="inlineStr">
        <is>
          <t>INFO</t>
        </is>
      </c>
      <c r="C4" t="inlineStr">
        <is>
          <t>Filtre applique : Nord</t>
        </is>
      </c>
    </row>
    <row r="5">
      <c r="A5" s="13" t="n">
        <v>46322.01117507085</v>
      </c>
      <c r="B5" t="inlineStr">
        <is>
          <t>INFO</t>
        </is>
      </c>
      <c r="C5" t="inlineStr">
        <is>
          <t>Visuel regenere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2026-10-26T21:03:02Z</dcterms:created>
  <dcterms:modified xsi:type="dcterms:W3CDTF">2026-10-26T23:16:05Z</dcterms:modified>
  <cp:lastModifiedBy>Jules Davoust</cp:lastModifiedBy>
</cp:coreProperties>
</file>