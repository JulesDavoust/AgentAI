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5">
    <numFmt numFmtId="164" formatCode="dd/mm/yyyy\ hh:mm:ss"/>
    <numFmt numFmtId="165" formatCode="#,##0.0"/>
    <numFmt numFmtId="166" formatCode="dd/mm"/>
    <numFmt numFmtId="167" formatCode="yyyy-mm-dd h:mm:ss"/>
    <numFmt numFmtId="168" formatCode="dd/mm/yyyy hh:mm:ss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00"/>
      <sz val="11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pivotButton="1" quotePrefix="0" xfId="0"/>
    <xf numFmtId="166" fontId="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ules" refreshedDate="46320.46880023148" createdVersion="8" refreshedVersion="8" minRefreshableVersion="3" recordCount="75" r:id="rId1">
  <cacheSource type="worksheet">
    <worksheetSource name="tblDonnees"/>
  </cacheSource>
  <cacheFields count="5">
    <cacheField name="Date" uniqueList="1" numFmtId="14" sqlType="0" hierarchy="0" level="0" databaseField="1">
      <sharedItems count="15" containsDate="1" containsNonDate="0" containsSemiMixedTypes="0" containsString="0" minDate="2026-10-11T00:00:00" maxDate="2026-10-26T00:00:00"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</sharedItems>
    </cacheField>
    <cacheField name="Region" uniqueList="1" numFmtId="0" sqlType="0" hierarchy="0" level="0" databaseField="1">
      <sharedItems count="5">
        <s v="Nord"/>
        <s v="Sud"/>
        <s v="Est"/>
        <s v="Ouest"/>
        <s v="Centre"/>
      </sharedItems>
    </cacheField>
    <cacheField name="Volume_GWh" uniqueList="1" numFmtId="0" sqlType="0" hierarchy="0" level="0" databaseField="1">
      <sharedItems count="0" containsNumber="1" containsSemiMixedTypes="0" containsString="0" minValue="51.3" maxValue="134.6"/>
    </cacheField>
    <cacheField name="Temperature_C" uniqueList="1" numFmtId="0" sqlType="0" hierarchy="0" level="0" databaseField="1">
      <sharedItems count="0" containsNumber="1" containsSemiMixedTypes="0" containsString="0" minValue="2.200000047683716" maxValue="16"/>
    </cacheField>
    <cacheField name="Stat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x v="0"/>
    <n v="127.4"/>
    <n v="9.5"/>
    <s v="Historique"/>
  </r>
  <r>
    <x v="0"/>
    <x v="1"/>
    <n v="97.3"/>
    <n v="6.099999904632568"/>
    <s v="Historique"/>
  </r>
  <r>
    <x v="0"/>
    <x v="2"/>
    <n v="75.2"/>
    <n v="12.80000019073486"/>
    <s v="Historique"/>
  </r>
  <r>
    <x v="0"/>
    <x v="3"/>
    <n v="59.8"/>
    <n v="12.69999980926514"/>
    <s v="Historique"/>
  </r>
  <r>
    <x v="0"/>
    <x v="4"/>
    <n v="65.7"/>
    <n v="11.89999961853027"/>
    <s v="Historique"/>
  </r>
  <r>
    <x v="1"/>
    <x v="0"/>
    <n v="103.6"/>
    <n v="7.800000190734863"/>
    <s v="Historique"/>
  </r>
  <r>
    <x v="1"/>
    <x v="1"/>
    <n v="105.3"/>
    <n v="13.10000038146973"/>
    <s v="Historique"/>
  </r>
  <r>
    <x v="1"/>
    <x v="2"/>
    <n v="77"/>
    <n v="15.5"/>
    <s v="Historique"/>
  </r>
  <r>
    <x v="1"/>
    <x v="3"/>
    <n v="77.8"/>
    <n v="2.799999952316284"/>
    <s v="Historique"/>
  </r>
  <r>
    <x v="1"/>
    <x v="4"/>
    <n v="68.09999999999999"/>
    <n v="7.099999904632568"/>
    <s v="Historique"/>
  </r>
  <r>
    <x v="2"/>
    <x v="0"/>
    <n v="120.9"/>
    <n v="12.69999980926514"/>
    <s v="Historique"/>
  </r>
  <r>
    <x v="2"/>
    <x v="1"/>
    <n v="82.3"/>
    <n v="10.30000019073486"/>
    <s v="Historique"/>
  </r>
  <r>
    <x v="2"/>
    <x v="2"/>
    <n v="79.2"/>
    <n v="6.199999809265137"/>
    <s v="Historique"/>
  </r>
  <r>
    <x v="2"/>
    <x v="3"/>
    <n v="72.59999999999999"/>
    <n v="11.10000038146973"/>
    <s v="Historique"/>
  </r>
  <r>
    <x v="2"/>
    <x v="4"/>
    <n v="55.7"/>
    <n v="5.900000095367432"/>
    <s v="Historique"/>
  </r>
  <r>
    <x v="3"/>
    <x v="0"/>
    <n v="131.9"/>
    <n v="13.5"/>
    <s v="Historique"/>
  </r>
  <r>
    <x v="3"/>
    <x v="1"/>
    <n v="97.5"/>
    <n v="15.80000019073486"/>
    <s v="Historique"/>
  </r>
  <r>
    <x v="3"/>
    <x v="2"/>
    <n v="89.90000000000001"/>
    <n v="5.199999809265137"/>
    <s v="Historique"/>
  </r>
  <r>
    <x v="3"/>
    <x v="3"/>
    <n v="74.09999999999999"/>
    <n v="15.69999980926514"/>
    <s v="Historique"/>
  </r>
  <r>
    <x v="3"/>
    <x v="4"/>
    <n v="55.4"/>
    <n v="9.5"/>
    <s v="Historique"/>
  </r>
  <r>
    <x v="4"/>
    <x v="0"/>
    <n v="105.8"/>
    <n v="16"/>
    <s v="Historique"/>
  </r>
  <r>
    <x v="4"/>
    <x v="1"/>
    <n v="100"/>
    <n v="2.200000047683716"/>
    <s v="Historique"/>
  </r>
  <r>
    <x v="4"/>
    <x v="2"/>
    <n v="81.8"/>
    <n v="3.400000095367432"/>
    <s v="Historique"/>
  </r>
  <r>
    <x v="4"/>
    <x v="3"/>
    <n v="61.7"/>
    <n v="13.19999980926514"/>
    <s v="Historique"/>
  </r>
  <r>
    <x v="4"/>
    <x v="4"/>
    <n v="56.1"/>
    <n v="2.599999904632568"/>
    <s v="Historique"/>
  </r>
  <r>
    <x v="5"/>
    <x v="0"/>
    <n v="112.6"/>
    <n v="7.300000190734863"/>
    <s v="Historique"/>
  </r>
  <r>
    <x v="5"/>
    <x v="1"/>
    <n v="89.3"/>
    <n v="15.30000019073486"/>
    <s v="Historique"/>
  </r>
  <r>
    <x v="5"/>
    <x v="2"/>
    <n v="91.5"/>
    <n v="7.599999904632568"/>
    <s v="Historique"/>
  </r>
  <r>
    <x v="5"/>
    <x v="3"/>
    <n v="65.3"/>
    <n v="4.199999809265137"/>
    <s v="Historique"/>
  </r>
  <r>
    <x v="5"/>
    <x v="4"/>
    <n v="53.9"/>
    <n v="11.10000038146973"/>
    <s v="Historique"/>
  </r>
  <r>
    <x v="6"/>
    <x v="0"/>
    <n v="116.8"/>
    <n v="7.800000190734863"/>
    <s v="Historique"/>
  </r>
  <r>
    <x v="6"/>
    <x v="1"/>
    <n v="101.1"/>
    <n v="6.599999904632568"/>
    <s v="Historique"/>
  </r>
  <r>
    <x v="6"/>
    <x v="2"/>
    <n v="83.2"/>
    <n v="4.900000095367432"/>
    <s v="Historique"/>
  </r>
  <r>
    <x v="6"/>
    <x v="3"/>
    <n v="63.4"/>
    <n v="10.19999980926514"/>
    <s v="Historique"/>
  </r>
  <r>
    <x v="6"/>
    <x v="4"/>
    <n v="52.5"/>
    <n v="8.399999618530273"/>
    <s v="Historique"/>
  </r>
  <r>
    <x v="7"/>
    <x v="0"/>
    <n v="134.6"/>
    <n v="5.699999809265137"/>
    <s v="Historique"/>
  </r>
  <r>
    <x v="7"/>
    <x v="1"/>
    <n v="103.1"/>
    <n v="7.300000190734863"/>
    <s v="Historique"/>
  </r>
  <r>
    <x v="7"/>
    <x v="2"/>
    <n v="75"/>
    <n v="14.89999961853027"/>
    <s v="Historique"/>
  </r>
  <r>
    <x v="7"/>
    <x v="3"/>
    <n v="72.8"/>
    <n v="10.80000019073486"/>
    <s v="Historique"/>
  </r>
  <r>
    <x v="7"/>
    <x v="4"/>
    <n v="58.7"/>
    <n v="3.400000095367432"/>
    <s v="Historique"/>
  </r>
  <r>
    <x v="8"/>
    <x v="0"/>
    <n v="122.2"/>
    <n v="11.69999980926514"/>
    <s v="Historique"/>
  </r>
  <r>
    <x v="8"/>
    <x v="1"/>
    <n v="106.8"/>
    <n v="13.69999980926514"/>
    <s v="Historique"/>
  </r>
  <r>
    <x v="8"/>
    <x v="2"/>
    <n v="68.5"/>
    <n v="9.600000381469727"/>
    <s v="Historique"/>
  </r>
  <r>
    <x v="8"/>
    <x v="3"/>
    <n v="78.7"/>
    <n v="8"/>
    <s v="Historique"/>
  </r>
  <r>
    <x v="8"/>
    <x v="4"/>
    <n v="63.2"/>
    <n v="9"/>
    <s v="Historique"/>
  </r>
  <r>
    <x v="9"/>
    <x v="0"/>
    <n v="120.5"/>
    <n v="8.5"/>
    <s v="Historique"/>
  </r>
  <r>
    <x v="9"/>
    <x v="1"/>
    <n v="90.8"/>
    <n v="7.699999809265137"/>
    <s v="Historique"/>
  </r>
  <r>
    <x v="9"/>
    <x v="2"/>
    <n v="74.5"/>
    <n v="2.799999952316284"/>
    <s v="Historique"/>
  </r>
  <r>
    <x v="9"/>
    <x v="3"/>
    <n v="64.59999999999999"/>
    <n v="15.69999980926514"/>
    <s v="Historique"/>
  </r>
  <r>
    <x v="9"/>
    <x v="4"/>
    <n v="52.1"/>
    <n v="7.5"/>
    <s v="Historique"/>
  </r>
  <r>
    <x v="10"/>
    <x v="0"/>
    <n v="115.1"/>
    <n v="8.899999618530273"/>
    <s v="Historique"/>
  </r>
  <r>
    <x v="10"/>
    <x v="1"/>
    <n v="85.2"/>
    <n v="8.600000381469727"/>
    <s v="Historique"/>
  </r>
  <r>
    <x v="10"/>
    <x v="2"/>
    <n v="74.2"/>
    <n v="10.80000019073486"/>
    <s v="Historique"/>
  </r>
  <r>
    <x v="10"/>
    <x v="3"/>
    <n v="70.90000000000001"/>
    <n v="4.199999809265137"/>
    <s v="Historique"/>
  </r>
  <r>
    <x v="10"/>
    <x v="4"/>
    <n v="67.90000000000001"/>
    <n v="11.19999980926514"/>
    <s v="Historique"/>
  </r>
  <r>
    <x v="11"/>
    <x v="0"/>
    <n v="120.2"/>
    <n v="7.5"/>
    <s v="Historique"/>
  </r>
  <r>
    <x v="11"/>
    <x v="1"/>
    <n v="83.8"/>
    <n v="13"/>
    <s v="Historique"/>
  </r>
  <r>
    <x v="11"/>
    <x v="2"/>
    <n v="79"/>
    <n v="12.60000038146973"/>
    <s v="Historique"/>
  </r>
  <r>
    <x v="11"/>
    <x v="3"/>
    <n v="72"/>
    <n v="13.69999980926514"/>
    <s v="Historique"/>
  </r>
  <r>
    <x v="11"/>
    <x v="4"/>
    <n v="51.3"/>
    <n v="4.900000095367432"/>
    <s v="Historique"/>
  </r>
  <r>
    <x v="12"/>
    <x v="0"/>
    <n v="104.7"/>
    <n v="3.5"/>
    <s v="Historique"/>
  </r>
  <r>
    <x v="12"/>
    <x v="1"/>
    <n v="90.2"/>
    <n v="3.799999952316284"/>
    <s v="Historique"/>
  </r>
  <r>
    <x v="12"/>
    <x v="2"/>
    <n v="68"/>
    <n v="9.5"/>
    <s v="Historique"/>
  </r>
  <r>
    <x v="12"/>
    <x v="3"/>
    <n v="73.3"/>
    <n v="9.600000381469727"/>
    <s v="Historique"/>
  </r>
  <r>
    <x v="12"/>
    <x v="4"/>
    <n v="65.90000000000001"/>
    <n v="3.099999904632568"/>
    <s v="Historique"/>
  </r>
  <r>
    <x v="13"/>
    <x v="0"/>
    <n v="108.9"/>
    <n v="11.5"/>
    <s v="Historique"/>
  </r>
  <r>
    <x v="13"/>
    <x v="1"/>
    <n v="93.7"/>
    <n v="7"/>
    <s v="Historique"/>
  </r>
  <r>
    <x v="13"/>
    <x v="2"/>
    <n v="71.59999999999999"/>
    <n v="11.89999961853027"/>
    <s v="Historique"/>
  </r>
  <r>
    <x v="13"/>
    <x v="3"/>
    <n v="79"/>
    <n v="9.399999618530273"/>
    <s v="Historique"/>
  </r>
  <r>
    <x v="13"/>
    <x v="4"/>
    <n v="52.6"/>
    <n v="12.60000038146973"/>
    <s v="Historique"/>
  </r>
  <r>
    <x v="14"/>
    <x v="0"/>
    <n v="116.5"/>
    <n v="8.5"/>
    <s v="Phase de test"/>
  </r>
  <r>
    <x v="14"/>
    <x v="1"/>
    <n v="94.8"/>
    <n v="4.900000095367432"/>
    <s v="Phase de test"/>
  </r>
  <r>
    <x v="14"/>
    <x v="2"/>
    <n v="75.90000000000001"/>
    <n v="3.299999952316284"/>
    <s v="Phase de test"/>
  </r>
  <r>
    <x v="14"/>
    <x v="3"/>
    <n v="71.90000000000001"/>
    <n v="4.400000095367432"/>
    <s v="Phase de test"/>
  </r>
  <r>
    <x v="14"/>
    <x v="4"/>
    <n v="67.7"/>
    <n v="3.400000095367432"/>
    <s v="Phase de test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CD_Volume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5:G22" firstHeaderRow="1" firstDataRow="2" firstDataCol="1"/>
  <pivotFields count="5">
    <pivotField axis="axisRow" showDropDowns="1" compact="1" numFmtId="166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3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1">
    <field x="1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Volume (GWh)" fld="2" subtotal="sum" showDataAs="normal" baseField="0" baseItem="0" numFmtId="165"/>
  </dataFields>
  <chartFormats count="5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nnees" displayName="tblDonnees" ref="A1:E76" headerRowCount="1" totalsRowShown="0">
  <autoFilter ref="A1:E76">
    <filterColumn colId="1" hiddenButton="0" showButton="1">
      <filters>
        <filter val="Nord"/>
      </filters>
    </filterColumn>
  </autoFilter>
  <tableColumns count="5">
    <tableColumn id="1" name="Date" dataDxfId="0"/>
    <tableColumn id="2" name="Region"/>
    <tableColumn id="3" name="Volume_GWh"/>
    <tableColumn id="4" name="Temperature_C"/>
    <tableColumn id="5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1"/>
  <sheetViews>
    <sheetView workbookViewId="0">
      <selection activeCell="K9" sqref="K9"/>
    </sheetView>
  </sheetViews>
  <sheetFormatPr baseColWidth="10" defaultRowHeight="15"/>
  <sheetData/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E76"/>
  <sheetViews>
    <sheetView workbookViewId="0">
      <selection activeCell="A1" sqref="A1"/>
    </sheetView>
  </sheetViews>
  <sheetFormatPr baseColWidth="10" defaultRowHeight="15"/>
  <cols>
    <col width="10.42578125" bestFit="1" customWidth="1" style="1" min="1" max="1"/>
    <col width="9.5703125" bestFit="1" customWidth="1" min="2" max="2"/>
    <col width="15.42578125" bestFit="1" customWidth="1" min="3" max="3"/>
    <col width="17.140625" bestFit="1" customWidth="1" min="4" max="4"/>
    <col width="10.140625" bestFit="1" customWidth="1" min="5" max="5"/>
  </cols>
  <sheetData>
    <row r="1">
      <c r="A1" s="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46306</v>
      </c>
      <c r="B2" t="inlineStr">
        <is>
          <t>Nord</t>
        </is>
      </c>
      <c r="C2" t="n">
        <v>127.4</v>
      </c>
      <c r="D2" t="n">
        <v>9.5</v>
      </c>
      <c r="E2" t="inlineStr">
        <is>
          <t>Historique</t>
        </is>
      </c>
    </row>
    <row r="3" hidden="1">
      <c r="A3" s="1" t="n">
        <v>46306</v>
      </c>
      <c r="B3" t="inlineStr">
        <is>
          <t>Sud</t>
        </is>
      </c>
      <c r="C3" t="n">
        <v>97.3</v>
      </c>
      <c r="D3" t="n">
        <v>6.099999904632568</v>
      </c>
      <c r="E3" t="inlineStr">
        <is>
          <t>Historique</t>
        </is>
      </c>
    </row>
    <row r="4" hidden="1">
      <c r="A4" s="1" t="n">
        <v>46306</v>
      </c>
      <c r="B4" t="inlineStr">
        <is>
          <t>Est</t>
        </is>
      </c>
      <c r="C4" t="n">
        <v>75.2</v>
      </c>
      <c r="D4" t="n">
        <v>12.80000019073486</v>
      </c>
      <c r="E4" t="inlineStr">
        <is>
          <t>Historique</t>
        </is>
      </c>
    </row>
    <row r="5" hidden="1">
      <c r="A5" s="1" t="n">
        <v>46306</v>
      </c>
      <c r="B5" t="inlineStr">
        <is>
          <t>Ouest</t>
        </is>
      </c>
      <c r="C5" t="n">
        <v>59.8</v>
      </c>
      <c r="D5" t="n">
        <v>12.69999980926514</v>
      </c>
      <c r="E5" t="inlineStr">
        <is>
          <t>Historique</t>
        </is>
      </c>
    </row>
    <row r="6" hidden="1">
      <c r="A6" s="1" t="n">
        <v>46306</v>
      </c>
      <c r="B6" t="inlineStr">
        <is>
          <t>Centre</t>
        </is>
      </c>
      <c r="C6" t="n">
        <v>65.7</v>
      </c>
      <c r="D6" t="n">
        <v>11.89999961853027</v>
      </c>
      <c r="E6" t="inlineStr">
        <is>
          <t>Historique</t>
        </is>
      </c>
    </row>
    <row r="7">
      <c r="A7" s="1" t="n">
        <v>46307</v>
      </c>
      <c r="B7" t="inlineStr">
        <is>
          <t>Nord</t>
        </is>
      </c>
      <c r="C7" t="n">
        <v>103.6</v>
      </c>
      <c r="D7" t="n">
        <v>7.800000190734863</v>
      </c>
      <c r="E7" t="inlineStr">
        <is>
          <t>Historique</t>
        </is>
      </c>
    </row>
    <row r="8" hidden="1">
      <c r="A8" s="1" t="n">
        <v>46307</v>
      </c>
      <c r="B8" t="inlineStr">
        <is>
          <t>Sud</t>
        </is>
      </c>
      <c r="C8" t="n">
        <v>105.3</v>
      </c>
      <c r="D8" t="n">
        <v>13.10000038146973</v>
      </c>
      <c r="E8" t="inlineStr">
        <is>
          <t>Historique</t>
        </is>
      </c>
    </row>
    <row r="9" hidden="1">
      <c r="A9" s="1" t="n">
        <v>46307</v>
      </c>
      <c r="B9" t="inlineStr">
        <is>
          <t>Est</t>
        </is>
      </c>
      <c r="C9" t="n">
        <v>77</v>
      </c>
      <c r="D9" t="n">
        <v>15.5</v>
      </c>
      <c r="E9" t="inlineStr">
        <is>
          <t>Historique</t>
        </is>
      </c>
    </row>
    <row r="10" hidden="1">
      <c r="A10" s="1" t="n">
        <v>46307</v>
      </c>
      <c r="B10" t="inlineStr">
        <is>
          <t>Ouest</t>
        </is>
      </c>
      <c r="C10" t="n">
        <v>77.8</v>
      </c>
      <c r="D10" t="n">
        <v>2.799999952316284</v>
      </c>
      <c r="E10" t="inlineStr">
        <is>
          <t>Historique</t>
        </is>
      </c>
    </row>
    <row r="11" hidden="1">
      <c r="A11" s="1" t="n">
        <v>46307</v>
      </c>
      <c r="B11" t="inlineStr">
        <is>
          <t>Centre</t>
        </is>
      </c>
      <c r="C11" t="n">
        <v>68.09999999999999</v>
      </c>
      <c r="D11" t="n">
        <v>7.099999904632568</v>
      </c>
      <c r="E11" t="inlineStr">
        <is>
          <t>Historique</t>
        </is>
      </c>
    </row>
    <row r="12">
      <c r="A12" s="1" t="n">
        <v>46308</v>
      </c>
      <c r="B12" t="inlineStr">
        <is>
          <t>Nord</t>
        </is>
      </c>
      <c r="C12" t="n">
        <v>120.9</v>
      </c>
      <c r="D12" t="n">
        <v>12.69999980926514</v>
      </c>
      <c r="E12" t="inlineStr">
        <is>
          <t>Historique</t>
        </is>
      </c>
    </row>
    <row r="13" hidden="1">
      <c r="A13" s="1" t="n">
        <v>46308</v>
      </c>
      <c r="B13" t="inlineStr">
        <is>
          <t>Sud</t>
        </is>
      </c>
      <c r="C13" t="n">
        <v>82.3</v>
      </c>
      <c r="D13" t="n">
        <v>10.30000019073486</v>
      </c>
      <c r="E13" t="inlineStr">
        <is>
          <t>Historique</t>
        </is>
      </c>
    </row>
    <row r="14" hidden="1">
      <c r="A14" s="1" t="n">
        <v>46308</v>
      </c>
      <c r="B14" t="inlineStr">
        <is>
          <t>Est</t>
        </is>
      </c>
      <c r="C14" t="n">
        <v>79.2</v>
      </c>
      <c r="D14" t="n">
        <v>6.199999809265137</v>
      </c>
      <c r="E14" t="inlineStr">
        <is>
          <t>Historique</t>
        </is>
      </c>
    </row>
    <row r="15" hidden="1">
      <c r="A15" s="1" t="n">
        <v>46308</v>
      </c>
      <c r="B15" t="inlineStr">
        <is>
          <t>Ouest</t>
        </is>
      </c>
      <c r="C15" t="n">
        <v>72.59999999999999</v>
      </c>
      <c r="D15" t="n">
        <v>11.10000038146973</v>
      </c>
      <c r="E15" t="inlineStr">
        <is>
          <t>Historique</t>
        </is>
      </c>
    </row>
    <row r="16" hidden="1">
      <c r="A16" s="1" t="n">
        <v>46308</v>
      </c>
      <c r="B16" t="inlineStr">
        <is>
          <t>Centre</t>
        </is>
      </c>
      <c r="C16" t="n">
        <v>55.7</v>
      </c>
      <c r="D16" t="n">
        <v>5.900000095367432</v>
      </c>
      <c r="E16" t="inlineStr">
        <is>
          <t>Historique</t>
        </is>
      </c>
    </row>
    <row r="17">
      <c r="A17" s="1" t="n">
        <v>46309</v>
      </c>
      <c r="B17" t="inlineStr">
        <is>
          <t>Nord</t>
        </is>
      </c>
      <c r="C17" t="n">
        <v>131.9</v>
      </c>
      <c r="D17" t="n">
        <v>13.5</v>
      </c>
      <c r="E17" t="inlineStr">
        <is>
          <t>Historique</t>
        </is>
      </c>
    </row>
    <row r="18" hidden="1">
      <c r="A18" s="1" t="n">
        <v>46309</v>
      </c>
      <c r="B18" t="inlineStr">
        <is>
          <t>Sud</t>
        </is>
      </c>
      <c r="C18" t="n">
        <v>97.5</v>
      </c>
      <c r="D18" t="n">
        <v>15.80000019073486</v>
      </c>
      <c r="E18" t="inlineStr">
        <is>
          <t>Historique</t>
        </is>
      </c>
    </row>
    <row r="19" hidden="1">
      <c r="A19" s="1" t="n">
        <v>46309</v>
      </c>
      <c r="B19" t="inlineStr">
        <is>
          <t>Est</t>
        </is>
      </c>
      <c r="C19" t="n">
        <v>89.90000000000001</v>
      </c>
      <c r="D19" t="n">
        <v>5.199999809265137</v>
      </c>
      <c r="E19" t="inlineStr">
        <is>
          <t>Historique</t>
        </is>
      </c>
    </row>
    <row r="20" hidden="1">
      <c r="A20" s="1" t="n">
        <v>46309</v>
      </c>
      <c r="B20" t="inlineStr">
        <is>
          <t>Ouest</t>
        </is>
      </c>
      <c r="C20" t="n">
        <v>74.09999999999999</v>
      </c>
      <c r="D20" t="n">
        <v>15.69999980926514</v>
      </c>
      <c r="E20" t="inlineStr">
        <is>
          <t>Historique</t>
        </is>
      </c>
    </row>
    <row r="21" hidden="1">
      <c r="A21" s="1" t="n">
        <v>46309</v>
      </c>
      <c r="B21" t="inlineStr">
        <is>
          <t>Centre</t>
        </is>
      </c>
      <c r="C21" t="n">
        <v>55.4</v>
      </c>
      <c r="D21" t="n">
        <v>9.5</v>
      </c>
      <c r="E21" t="inlineStr">
        <is>
          <t>Historique</t>
        </is>
      </c>
    </row>
    <row r="22">
      <c r="A22" s="1" t="n">
        <v>46310</v>
      </c>
      <c r="B22" t="inlineStr">
        <is>
          <t>Nord</t>
        </is>
      </c>
      <c r="C22" t="n">
        <v>105.8</v>
      </c>
      <c r="D22" t="n">
        <v>16</v>
      </c>
      <c r="E22" t="inlineStr">
        <is>
          <t>Historique</t>
        </is>
      </c>
    </row>
    <row r="23" hidden="1">
      <c r="A23" s="1" t="n">
        <v>46310</v>
      </c>
      <c r="B23" t="inlineStr">
        <is>
          <t>Sud</t>
        </is>
      </c>
      <c r="C23" t="n">
        <v>100</v>
      </c>
      <c r="D23" t="n">
        <v>2.200000047683716</v>
      </c>
      <c r="E23" t="inlineStr">
        <is>
          <t>Historique</t>
        </is>
      </c>
    </row>
    <row r="24" hidden="1">
      <c r="A24" s="1" t="n">
        <v>46310</v>
      </c>
      <c r="B24" t="inlineStr">
        <is>
          <t>Est</t>
        </is>
      </c>
      <c r="C24" t="n">
        <v>81.8</v>
      </c>
      <c r="D24" t="n">
        <v>3.400000095367432</v>
      </c>
      <c r="E24" t="inlineStr">
        <is>
          <t>Historique</t>
        </is>
      </c>
    </row>
    <row r="25" hidden="1">
      <c r="A25" s="1" t="n">
        <v>46310</v>
      </c>
      <c r="B25" t="inlineStr">
        <is>
          <t>Ouest</t>
        </is>
      </c>
      <c r="C25" t="n">
        <v>61.7</v>
      </c>
      <c r="D25" t="n">
        <v>13.19999980926514</v>
      </c>
      <c r="E25" t="inlineStr">
        <is>
          <t>Historique</t>
        </is>
      </c>
    </row>
    <row r="26" hidden="1">
      <c r="A26" s="1" t="n">
        <v>46310</v>
      </c>
      <c r="B26" t="inlineStr">
        <is>
          <t>Centre</t>
        </is>
      </c>
      <c r="C26" t="n">
        <v>56.1</v>
      </c>
      <c r="D26" t="n">
        <v>2.599999904632568</v>
      </c>
      <c r="E26" t="inlineStr">
        <is>
          <t>Historique</t>
        </is>
      </c>
    </row>
    <row r="27">
      <c r="A27" s="1" t="n">
        <v>46311</v>
      </c>
      <c r="B27" t="inlineStr">
        <is>
          <t>Nord</t>
        </is>
      </c>
      <c r="C27" t="n">
        <v>112.6</v>
      </c>
      <c r="D27" t="n">
        <v>7.300000190734863</v>
      </c>
      <c r="E27" t="inlineStr">
        <is>
          <t>Historique</t>
        </is>
      </c>
    </row>
    <row r="28" hidden="1">
      <c r="A28" s="1" t="n">
        <v>46311</v>
      </c>
      <c r="B28" t="inlineStr">
        <is>
          <t>Sud</t>
        </is>
      </c>
      <c r="C28" t="n">
        <v>89.3</v>
      </c>
      <c r="D28" t="n">
        <v>15.30000019073486</v>
      </c>
      <c r="E28" t="inlineStr">
        <is>
          <t>Historique</t>
        </is>
      </c>
    </row>
    <row r="29" hidden="1">
      <c r="A29" s="1" t="n">
        <v>46311</v>
      </c>
      <c r="B29" t="inlineStr">
        <is>
          <t>Est</t>
        </is>
      </c>
      <c r="C29" t="n">
        <v>91.5</v>
      </c>
      <c r="D29" t="n">
        <v>7.599999904632568</v>
      </c>
      <c r="E29" t="inlineStr">
        <is>
          <t>Historique</t>
        </is>
      </c>
    </row>
    <row r="30" hidden="1">
      <c r="A30" s="1" t="n">
        <v>46311</v>
      </c>
      <c r="B30" t="inlineStr">
        <is>
          <t>Ouest</t>
        </is>
      </c>
      <c r="C30" t="n">
        <v>65.3</v>
      </c>
      <c r="D30" t="n">
        <v>4.199999809265137</v>
      </c>
      <c r="E30" t="inlineStr">
        <is>
          <t>Historique</t>
        </is>
      </c>
    </row>
    <row r="31" hidden="1">
      <c r="A31" s="1" t="n">
        <v>46311</v>
      </c>
      <c r="B31" t="inlineStr">
        <is>
          <t>Centre</t>
        </is>
      </c>
      <c r="C31" t="n">
        <v>53.9</v>
      </c>
      <c r="D31" t="n">
        <v>11.10000038146973</v>
      </c>
      <c r="E31" t="inlineStr">
        <is>
          <t>Historique</t>
        </is>
      </c>
    </row>
    <row r="32">
      <c r="A32" s="1" t="n">
        <v>46312</v>
      </c>
      <c r="B32" t="inlineStr">
        <is>
          <t>Nord</t>
        </is>
      </c>
      <c r="C32" t="n">
        <v>116.8</v>
      </c>
      <c r="D32" t="n">
        <v>7.800000190734863</v>
      </c>
      <c r="E32" t="inlineStr">
        <is>
          <t>Historique</t>
        </is>
      </c>
    </row>
    <row r="33" hidden="1">
      <c r="A33" s="1" t="n">
        <v>46312</v>
      </c>
      <c r="B33" t="inlineStr">
        <is>
          <t>Sud</t>
        </is>
      </c>
      <c r="C33" t="n">
        <v>101.1</v>
      </c>
      <c r="D33" t="n">
        <v>6.599999904632568</v>
      </c>
      <c r="E33" t="inlineStr">
        <is>
          <t>Historique</t>
        </is>
      </c>
    </row>
    <row r="34" hidden="1">
      <c r="A34" s="1" t="n">
        <v>46312</v>
      </c>
      <c r="B34" t="inlineStr">
        <is>
          <t>Est</t>
        </is>
      </c>
      <c r="C34" t="n">
        <v>83.2</v>
      </c>
      <c r="D34" t="n">
        <v>4.900000095367432</v>
      </c>
      <c r="E34" t="inlineStr">
        <is>
          <t>Historique</t>
        </is>
      </c>
    </row>
    <row r="35" hidden="1">
      <c r="A35" s="1" t="n">
        <v>46312</v>
      </c>
      <c r="B35" t="inlineStr">
        <is>
          <t>Ouest</t>
        </is>
      </c>
      <c r="C35" t="n">
        <v>63.4</v>
      </c>
      <c r="D35" t="n">
        <v>10.19999980926514</v>
      </c>
      <c r="E35" t="inlineStr">
        <is>
          <t>Historique</t>
        </is>
      </c>
    </row>
    <row r="36" hidden="1">
      <c r="A36" s="1" t="n">
        <v>46312</v>
      </c>
      <c r="B36" t="inlineStr">
        <is>
          <t>Centre</t>
        </is>
      </c>
      <c r="C36" t="n">
        <v>52.5</v>
      </c>
      <c r="D36" t="n">
        <v>8.399999618530273</v>
      </c>
      <c r="E36" t="inlineStr">
        <is>
          <t>Historique</t>
        </is>
      </c>
    </row>
    <row r="37">
      <c r="A37" s="1" t="n">
        <v>46313</v>
      </c>
      <c r="B37" t="inlineStr">
        <is>
          <t>Nord</t>
        </is>
      </c>
      <c r="C37" t="n">
        <v>134.6</v>
      </c>
      <c r="D37" t="n">
        <v>5.699999809265137</v>
      </c>
      <c r="E37" t="inlineStr">
        <is>
          <t>Historique</t>
        </is>
      </c>
    </row>
    <row r="38" hidden="1">
      <c r="A38" s="1" t="n">
        <v>46313</v>
      </c>
      <c r="B38" t="inlineStr">
        <is>
          <t>Sud</t>
        </is>
      </c>
      <c r="C38" t="n">
        <v>103.1</v>
      </c>
      <c r="D38" t="n">
        <v>7.300000190734863</v>
      </c>
      <c r="E38" t="inlineStr">
        <is>
          <t>Historique</t>
        </is>
      </c>
    </row>
    <row r="39" hidden="1">
      <c r="A39" s="1" t="n">
        <v>46313</v>
      </c>
      <c r="B39" t="inlineStr">
        <is>
          <t>Est</t>
        </is>
      </c>
      <c r="C39" t="n">
        <v>75</v>
      </c>
      <c r="D39" t="n">
        <v>14.89999961853027</v>
      </c>
      <c r="E39" t="inlineStr">
        <is>
          <t>Historique</t>
        </is>
      </c>
    </row>
    <row r="40" hidden="1">
      <c r="A40" s="1" t="n">
        <v>46313</v>
      </c>
      <c r="B40" t="inlineStr">
        <is>
          <t>Ouest</t>
        </is>
      </c>
      <c r="C40" t="n">
        <v>72.8</v>
      </c>
      <c r="D40" t="n">
        <v>10.80000019073486</v>
      </c>
      <c r="E40" t="inlineStr">
        <is>
          <t>Historique</t>
        </is>
      </c>
    </row>
    <row r="41" hidden="1">
      <c r="A41" s="1" t="n">
        <v>46313</v>
      </c>
      <c r="B41" t="inlineStr">
        <is>
          <t>Centre</t>
        </is>
      </c>
      <c r="C41" t="n">
        <v>58.7</v>
      </c>
      <c r="D41" t="n">
        <v>3.400000095367432</v>
      </c>
      <c r="E41" t="inlineStr">
        <is>
          <t>Historique</t>
        </is>
      </c>
    </row>
    <row r="42">
      <c r="A42" s="1" t="n">
        <v>46314</v>
      </c>
      <c r="B42" t="inlineStr">
        <is>
          <t>Nord</t>
        </is>
      </c>
      <c r="C42" t="n">
        <v>122.2</v>
      </c>
      <c r="D42" t="n">
        <v>11.69999980926514</v>
      </c>
      <c r="E42" t="inlineStr">
        <is>
          <t>Historique</t>
        </is>
      </c>
    </row>
    <row r="43" hidden="1">
      <c r="A43" s="1" t="n">
        <v>46314</v>
      </c>
      <c r="B43" t="inlineStr">
        <is>
          <t>Sud</t>
        </is>
      </c>
      <c r="C43" t="n">
        <v>106.8</v>
      </c>
      <c r="D43" t="n">
        <v>13.69999980926514</v>
      </c>
      <c r="E43" t="inlineStr">
        <is>
          <t>Historique</t>
        </is>
      </c>
    </row>
    <row r="44" hidden="1">
      <c r="A44" s="1" t="n">
        <v>46314</v>
      </c>
      <c r="B44" t="inlineStr">
        <is>
          <t>Est</t>
        </is>
      </c>
      <c r="C44" t="n">
        <v>68.5</v>
      </c>
      <c r="D44" t="n">
        <v>9.600000381469727</v>
      </c>
      <c r="E44" t="inlineStr">
        <is>
          <t>Historique</t>
        </is>
      </c>
    </row>
    <row r="45" hidden="1">
      <c r="A45" s="1" t="n">
        <v>46314</v>
      </c>
      <c r="B45" t="inlineStr">
        <is>
          <t>Ouest</t>
        </is>
      </c>
      <c r="C45" t="n">
        <v>78.7</v>
      </c>
      <c r="D45" t="n">
        <v>8</v>
      </c>
      <c r="E45" t="inlineStr">
        <is>
          <t>Historique</t>
        </is>
      </c>
    </row>
    <row r="46" hidden="1">
      <c r="A46" s="1" t="n">
        <v>46314</v>
      </c>
      <c r="B46" t="inlineStr">
        <is>
          <t>Centre</t>
        </is>
      </c>
      <c r="C46" t="n">
        <v>63.2</v>
      </c>
      <c r="D46" t="n">
        <v>9</v>
      </c>
      <c r="E46" t="inlineStr">
        <is>
          <t>Historique</t>
        </is>
      </c>
    </row>
    <row r="47">
      <c r="A47" s="1" t="n">
        <v>46315</v>
      </c>
      <c r="B47" t="inlineStr">
        <is>
          <t>Nord</t>
        </is>
      </c>
      <c r="C47" t="n">
        <v>120.5</v>
      </c>
      <c r="D47" t="n">
        <v>8.5</v>
      </c>
      <c r="E47" t="inlineStr">
        <is>
          <t>Historique</t>
        </is>
      </c>
    </row>
    <row r="48" hidden="1">
      <c r="A48" s="1" t="n">
        <v>46315</v>
      </c>
      <c r="B48" t="inlineStr">
        <is>
          <t>Sud</t>
        </is>
      </c>
      <c r="C48" t="n">
        <v>90.8</v>
      </c>
      <c r="D48" t="n">
        <v>7.699999809265137</v>
      </c>
      <c r="E48" t="inlineStr">
        <is>
          <t>Historique</t>
        </is>
      </c>
    </row>
    <row r="49" hidden="1">
      <c r="A49" s="1" t="n">
        <v>46315</v>
      </c>
      <c r="B49" t="inlineStr">
        <is>
          <t>Est</t>
        </is>
      </c>
      <c r="C49" t="n">
        <v>74.5</v>
      </c>
      <c r="D49" t="n">
        <v>2.799999952316284</v>
      </c>
      <c r="E49" t="inlineStr">
        <is>
          <t>Historique</t>
        </is>
      </c>
    </row>
    <row r="50" hidden="1">
      <c r="A50" s="1" t="n">
        <v>46315</v>
      </c>
      <c r="B50" t="inlineStr">
        <is>
          <t>Ouest</t>
        </is>
      </c>
      <c r="C50" t="n">
        <v>64.59999999999999</v>
      </c>
      <c r="D50" t="n">
        <v>15.69999980926514</v>
      </c>
      <c r="E50" t="inlineStr">
        <is>
          <t>Historique</t>
        </is>
      </c>
    </row>
    <row r="51" hidden="1">
      <c r="A51" s="1" t="n">
        <v>46315</v>
      </c>
      <c r="B51" t="inlineStr">
        <is>
          <t>Centre</t>
        </is>
      </c>
      <c r="C51" t="n">
        <v>52.1</v>
      </c>
      <c r="D51" t="n">
        <v>7.5</v>
      </c>
      <c r="E51" t="inlineStr">
        <is>
          <t>Historique</t>
        </is>
      </c>
    </row>
    <row r="52">
      <c r="A52" s="1" t="n">
        <v>46316</v>
      </c>
      <c r="B52" t="inlineStr">
        <is>
          <t>Nord</t>
        </is>
      </c>
      <c r="C52" t="n">
        <v>115.1</v>
      </c>
      <c r="D52" t="n">
        <v>8.899999618530273</v>
      </c>
      <c r="E52" t="inlineStr">
        <is>
          <t>Historique</t>
        </is>
      </c>
    </row>
    <row r="53" hidden="1">
      <c r="A53" s="1" t="n">
        <v>46316</v>
      </c>
      <c r="B53" t="inlineStr">
        <is>
          <t>Sud</t>
        </is>
      </c>
      <c r="C53" t="n">
        <v>85.2</v>
      </c>
      <c r="D53" t="n">
        <v>8.600000381469727</v>
      </c>
      <c r="E53" t="inlineStr">
        <is>
          <t>Historique</t>
        </is>
      </c>
    </row>
    <row r="54" hidden="1">
      <c r="A54" s="1" t="n">
        <v>46316</v>
      </c>
      <c r="B54" t="inlineStr">
        <is>
          <t>Est</t>
        </is>
      </c>
      <c r="C54" t="n">
        <v>74.2</v>
      </c>
      <c r="D54" t="n">
        <v>10.80000019073486</v>
      </c>
      <c r="E54" t="inlineStr">
        <is>
          <t>Historique</t>
        </is>
      </c>
    </row>
    <row r="55" hidden="1">
      <c r="A55" s="1" t="n">
        <v>46316</v>
      </c>
      <c r="B55" t="inlineStr">
        <is>
          <t>Ouest</t>
        </is>
      </c>
      <c r="C55" t="n">
        <v>70.90000000000001</v>
      </c>
      <c r="D55" t="n">
        <v>4.199999809265137</v>
      </c>
      <c r="E55" t="inlineStr">
        <is>
          <t>Historique</t>
        </is>
      </c>
    </row>
    <row r="56" hidden="1">
      <c r="A56" s="1" t="n">
        <v>46316</v>
      </c>
      <c r="B56" t="inlineStr">
        <is>
          <t>Centre</t>
        </is>
      </c>
      <c r="C56" t="n">
        <v>67.90000000000001</v>
      </c>
      <c r="D56" t="n">
        <v>11.19999980926514</v>
      </c>
      <c r="E56" t="inlineStr">
        <is>
          <t>Historique</t>
        </is>
      </c>
    </row>
    <row r="57">
      <c r="A57" s="1" t="n">
        <v>46317</v>
      </c>
      <c r="B57" t="inlineStr">
        <is>
          <t>Nord</t>
        </is>
      </c>
      <c r="C57" t="n">
        <v>120.2</v>
      </c>
      <c r="D57" t="n">
        <v>7.5</v>
      </c>
      <c r="E57" t="inlineStr">
        <is>
          <t>Historique</t>
        </is>
      </c>
    </row>
    <row r="58" hidden="1">
      <c r="A58" s="1" t="n">
        <v>46317</v>
      </c>
      <c r="B58" t="inlineStr">
        <is>
          <t>Sud</t>
        </is>
      </c>
      <c r="C58" t="n">
        <v>83.8</v>
      </c>
      <c r="D58" t="n">
        <v>13</v>
      </c>
      <c r="E58" t="inlineStr">
        <is>
          <t>Historique</t>
        </is>
      </c>
    </row>
    <row r="59" hidden="1">
      <c r="A59" s="1" t="n">
        <v>46317</v>
      </c>
      <c r="B59" t="inlineStr">
        <is>
          <t>Est</t>
        </is>
      </c>
      <c r="C59" t="n">
        <v>79</v>
      </c>
      <c r="D59" t="n">
        <v>12.60000038146973</v>
      </c>
      <c r="E59" t="inlineStr">
        <is>
          <t>Historique</t>
        </is>
      </c>
    </row>
    <row r="60" hidden="1">
      <c r="A60" s="1" t="n">
        <v>46317</v>
      </c>
      <c r="B60" t="inlineStr">
        <is>
          <t>Ouest</t>
        </is>
      </c>
      <c r="C60" t="n">
        <v>72</v>
      </c>
      <c r="D60" t="n">
        <v>13.69999980926514</v>
      </c>
      <c r="E60" t="inlineStr">
        <is>
          <t>Historique</t>
        </is>
      </c>
    </row>
    <row r="61" hidden="1">
      <c r="A61" s="1" t="n">
        <v>46317</v>
      </c>
      <c r="B61" t="inlineStr">
        <is>
          <t>Centre</t>
        </is>
      </c>
      <c r="C61" t="n">
        <v>51.3</v>
      </c>
      <c r="D61" t="n">
        <v>4.900000095367432</v>
      </c>
      <c r="E61" t="inlineStr">
        <is>
          <t>Historique</t>
        </is>
      </c>
    </row>
    <row r="62">
      <c r="A62" s="1" t="n">
        <v>46318</v>
      </c>
      <c r="B62" t="inlineStr">
        <is>
          <t>Nord</t>
        </is>
      </c>
      <c r="C62" t="n">
        <v>104.7</v>
      </c>
      <c r="D62" t="n">
        <v>3.5</v>
      </c>
      <c r="E62" t="inlineStr">
        <is>
          <t>Historique</t>
        </is>
      </c>
    </row>
    <row r="63" hidden="1">
      <c r="A63" s="1" t="n">
        <v>46318</v>
      </c>
      <c r="B63" t="inlineStr">
        <is>
          <t>Sud</t>
        </is>
      </c>
      <c r="C63" t="n">
        <v>90.2</v>
      </c>
      <c r="D63" t="n">
        <v>3.799999952316284</v>
      </c>
      <c r="E63" t="inlineStr">
        <is>
          <t>Historique</t>
        </is>
      </c>
    </row>
    <row r="64" hidden="1">
      <c r="A64" s="1" t="n">
        <v>46318</v>
      </c>
      <c r="B64" t="inlineStr">
        <is>
          <t>Est</t>
        </is>
      </c>
      <c r="C64" t="n">
        <v>68</v>
      </c>
      <c r="D64" t="n">
        <v>9.5</v>
      </c>
      <c r="E64" t="inlineStr">
        <is>
          <t>Historique</t>
        </is>
      </c>
    </row>
    <row r="65" hidden="1">
      <c r="A65" s="1" t="n">
        <v>46318</v>
      </c>
      <c r="B65" t="inlineStr">
        <is>
          <t>Ouest</t>
        </is>
      </c>
      <c r="C65" t="n">
        <v>73.3</v>
      </c>
      <c r="D65" t="n">
        <v>9.600000381469727</v>
      </c>
      <c r="E65" t="inlineStr">
        <is>
          <t>Historique</t>
        </is>
      </c>
    </row>
    <row r="66" hidden="1">
      <c r="A66" s="1" t="n">
        <v>46318</v>
      </c>
      <c r="B66" t="inlineStr">
        <is>
          <t>Centre</t>
        </is>
      </c>
      <c r="C66" t="n">
        <v>65.90000000000001</v>
      </c>
      <c r="D66" t="n">
        <v>3.099999904632568</v>
      </c>
      <c r="E66" t="inlineStr">
        <is>
          <t>Historique</t>
        </is>
      </c>
    </row>
    <row r="67">
      <c r="A67" s="1" t="n">
        <v>46319</v>
      </c>
      <c r="B67" t="inlineStr">
        <is>
          <t>Nord</t>
        </is>
      </c>
      <c r="C67" t="n">
        <v>108.9</v>
      </c>
      <c r="D67" t="n">
        <v>11.5</v>
      </c>
      <c r="E67" t="inlineStr">
        <is>
          <t>Historique</t>
        </is>
      </c>
    </row>
    <row r="68" hidden="1">
      <c r="A68" s="1" t="n">
        <v>46319</v>
      </c>
      <c r="B68" t="inlineStr">
        <is>
          <t>Sud</t>
        </is>
      </c>
      <c r="C68" t="n">
        <v>93.7</v>
      </c>
      <c r="D68" t="n">
        <v>7</v>
      </c>
      <c r="E68" t="inlineStr">
        <is>
          <t>Historique</t>
        </is>
      </c>
    </row>
    <row r="69" hidden="1">
      <c r="A69" s="1" t="n">
        <v>46319</v>
      </c>
      <c r="B69" t="inlineStr">
        <is>
          <t>Est</t>
        </is>
      </c>
      <c r="C69" t="n">
        <v>71.59999999999999</v>
      </c>
      <c r="D69" t="n">
        <v>11.89999961853027</v>
      </c>
      <c r="E69" t="inlineStr">
        <is>
          <t>Historique</t>
        </is>
      </c>
    </row>
    <row r="70" hidden="1">
      <c r="A70" s="1" t="n">
        <v>46319</v>
      </c>
      <c r="B70" t="inlineStr">
        <is>
          <t>Ouest</t>
        </is>
      </c>
      <c r="C70" t="n">
        <v>79</v>
      </c>
      <c r="D70" t="n">
        <v>9.399999618530273</v>
      </c>
      <c r="E70" t="inlineStr">
        <is>
          <t>Historique</t>
        </is>
      </c>
    </row>
    <row r="71" hidden="1">
      <c r="A71" s="1" t="n">
        <v>46319</v>
      </c>
      <c r="B71" t="inlineStr">
        <is>
          <t>Centre</t>
        </is>
      </c>
      <c r="C71" t="n">
        <v>52.6</v>
      </c>
      <c r="D71" t="n">
        <v>12.60000038146973</v>
      </c>
      <c r="E71" t="inlineStr">
        <is>
          <t>Historique</t>
        </is>
      </c>
    </row>
    <row r="72">
      <c r="A72" s="1" t="n">
        <v>46320</v>
      </c>
      <c r="B72" t="inlineStr">
        <is>
          <t>Nord</t>
        </is>
      </c>
      <c r="C72" t="n">
        <v>116.5</v>
      </c>
      <c r="D72" t="n">
        <v>8.5</v>
      </c>
      <c r="E72" t="inlineStr">
        <is>
          <t>Phase de test</t>
        </is>
      </c>
    </row>
    <row r="73" hidden="1">
      <c r="A73" s="1" t="n">
        <v>46320</v>
      </c>
      <c r="B73" t="inlineStr">
        <is>
          <t>Sud</t>
        </is>
      </c>
      <c r="C73" t="n">
        <v>94.8</v>
      </c>
      <c r="D73" t="n">
        <v>4.900000095367432</v>
      </c>
      <c r="E73" t="inlineStr">
        <is>
          <t>Phase de test</t>
        </is>
      </c>
    </row>
    <row r="74" hidden="1">
      <c r="A74" s="1" t="n">
        <v>46320</v>
      </c>
      <c r="B74" t="inlineStr">
        <is>
          <t>Est</t>
        </is>
      </c>
      <c r="C74" t="n">
        <v>75.90000000000001</v>
      </c>
      <c r="D74" t="n">
        <v>3.299999952316284</v>
      </c>
      <c r="E74" t="inlineStr">
        <is>
          <t>Phase de test</t>
        </is>
      </c>
    </row>
    <row r="75" hidden="1">
      <c r="A75" s="1" t="n">
        <v>46320</v>
      </c>
      <c r="B75" t="inlineStr">
        <is>
          <t>Ouest</t>
        </is>
      </c>
      <c r="C75" t="n">
        <v>71.90000000000001</v>
      </c>
      <c r="D75" t="n">
        <v>4.400000095367432</v>
      </c>
      <c r="E75" t="inlineStr">
        <is>
          <t>Phase de test</t>
        </is>
      </c>
    </row>
    <row r="76" hidden="1">
      <c r="A76" s="1" t="n">
        <v>46320</v>
      </c>
      <c r="B76" t="inlineStr">
        <is>
          <t>Centre</t>
        </is>
      </c>
      <c r="C76" t="n">
        <v>67.7</v>
      </c>
      <c r="D76" t="n">
        <v>3.400000095367432</v>
      </c>
      <c r="E76" t="inlineStr">
        <is>
          <t>Phase de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H22"/>
  <sheetViews>
    <sheetView tabSelected="1" workbookViewId="0">
      <selection activeCell="K2" sqref="K2"/>
    </sheetView>
  </sheetViews>
  <sheetFormatPr baseColWidth="10" defaultRowHeight="15"/>
  <cols>
    <col width="57" bestFit="1" customWidth="1" min="1" max="1"/>
    <col width="24" bestFit="1" customWidth="1" min="2" max="2"/>
    <col width="8" bestFit="1" customWidth="1" min="3" max="3"/>
    <col width="22" bestFit="1" customWidth="1" min="4" max="4"/>
    <col width="8" bestFit="1" customWidth="1" min="5" max="6"/>
    <col width="8" customWidth="1" min="6" max="6"/>
    <col width="20" bestFit="1" customWidth="1" min="7" max="7"/>
    <col width="8" bestFit="1" customWidth="1" min="8" max="8"/>
  </cols>
  <sheetData>
    <row r="1" ht="18.75" customHeight="1">
      <c r="A1" s="8" t="inlineStr">
        <is>
          <t>Suivi distribution gaz - mis a jour le 25/10/2026 16:30</t>
        </is>
      </c>
    </row>
    <row r="2">
      <c r="A2" s="9" t="inlineStr">
        <is>
          <t>Volume total (GWh)</t>
        </is>
      </c>
      <c r="B2" s="5">
        <f>SUM(tblDonnees[Volume_GWh])</f>
        <v/>
      </c>
      <c r="D2" s="9" t="inlineStr">
        <is>
          <t>Moyenne / jour (GWh)</t>
        </is>
      </c>
      <c r="E2" s="5">
        <f>SUM(tblDonnees[Volume_GWh])/SUMPRODUCT(1/COUNTIF(tblDonnees[Date],tblDonnees[Date]))</f>
        <v/>
      </c>
      <c r="G2" s="9" t="inlineStr">
        <is>
          <t>Region du pic</t>
        </is>
      </c>
      <c r="H2">
        <f>INDEX(tblDonnees[Region],MATCH(MAX(tblDonnees[Volume_GWh]),tblDonnees[Volume_GWh],0))</f>
        <v/>
      </c>
    </row>
    <row r="3"/>
    <row r="4"/>
    <row r="5">
      <c r="A5" t="inlineStr">
        <is>
          <t>Volume (GWh)</t>
        </is>
      </c>
      <c r="B5" t="inlineStr">
        <is>
          <t>Étiquettes de colonnes</t>
        </is>
      </c>
    </row>
    <row r="6">
      <c r="A6" t="inlineStr">
        <is>
          <t>Étiquettes de lignes</t>
        </is>
      </c>
      <c r="B6" t="inlineStr">
        <is>
          <t>Centre</t>
        </is>
      </c>
      <c r="C6" t="inlineStr">
        <is>
          <t>Est</t>
        </is>
      </c>
      <c r="D6" t="inlineStr">
        <is>
          <t>Nord</t>
        </is>
      </c>
      <c r="E6" t="inlineStr">
        <is>
          <t>Ouest</t>
        </is>
      </c>
      <c r="F6" t="inlineStr">
        <is>
          <t>Sud</t>
        </is>
      </c>
      <c r="G6" t="inlineStr">
        <is>
          <t>Total général</t>
        </is>
      </c>
    </row>
    <row r="7">
      <c r="A7" s="10" t="n">
        <v>46306</v>
      </c>
      <c r="B7" s="5" t="n">
        <v>65.7</v>
      </c>
      <c r="C7" s="5" t="n">
        <v>75.2</v>
      </c>
      <c r="D7" s="5" t="n">
        <v>127.4</v>
      </c>
      <c r="E7" s="5" t="n">
        <v>59.8</v>
      </c>
      <c r="F7" s="5" t="n">
        <v>97.3</v>
      </c>
      <c r="G7" s="5" t="n">
        <v>425.4</v>
      </c>
    </row>
    <row r="8">
      <c r="A8" s="10" t="n">
        <v>46307</v>
      </c>
      <c r="B8" s="5" t="n">
        <v>68.09999999999999</v>
      </c>
      <c r="C8" s="5" t="n">
        <v>77</v>
      </c>
      <c r="D8" s="5" t="n">
        <v>103.6</v>
      </c>
      <c r="E8" s="5" t="n">
        <v>77.8</v>
      </c>
      <c r="F8" s="5" t="n">
        <v>105.3</v>
      </c>
      <c r="G8" s="5" t="n">
        <v>431.8000000000001</v>
      </c>
    </row>
    <row r="9">
      <c r="A9" s="10" t="n">
        <v>46308</v>
      </c>
      <c r="B9" s="5" t="n">
        <v>55.7</v>
      </c>
      <c r="C9" s="5" t="n">
        <v>79.2</v>
      </c>
      <c r="D9" s="5" t="n">
        <v>120.9</v>
      </c>
      <c r="E9" s="5" t="n">
        <v>72.59999999999999</v>
      </c>
      <c r="F9" s="5" t="n">
        <v>82.3</v>
      </c>
      <c r="G9" s="5" t="n">
        <v>410.7</v>
      </c>
    </row>
    <row r="10">
      <c r="A10" s="10" t="n">
        <v>46309</v>
      </c>
      <c r="B10" s="5" t="n">
        <v>55.4</v>
      </c>
      <c r="C10" s="5" t="n">
        <v>89.90000000000001</v>
      </c>
      <c r="D10" s="5" t="n">
        <v>131.9</v>
      </c>
      <c r="E10" s="5" t="n">
        <v>74.09999999999999</v>
      </c>
      <c r="F10" s="5" t="n">
        <v>97.5</v>
      </c>
      <c r="G10" s="5" t="n">
        <v>448.8</v>
      </c>
    </row>
    <row r="11">
      <c r="A11" s="10" t="n">
        <v>46310</v>
      </c>
      <c r="B11" s="5" t="n">
        <v>56.1</v>
      </c>
      <c r="C11" s="5" t="n">
        <v>81.8</v>
      </c>
      <c r="D11" s="5" t="n">
        <v>105.8</v>
      </c>
      <c r="E11" s="5" t="n">
        <v>61.7</v>
      </c>
      <c r="F11" s="5" t="n">
        <v>100</v>
      </c>
      <c r="G11" s="5" t="n">
        <v>405.4</v>
      </c>
    </row>
    <row r="12">
      <c r="A12" s="10" t="n">
        <v>46311</v>
      </c>
      <c r="B12" s="5" t="n">
        <v>53.9</v>
      </c>
      <c r="C12" s="5" t="n">
        <v>91.5</v>
      </c>
      <c r="D12" s="5" t="n">
        <v>112.6</v>
      </c>
      <c r="E12" s="5" t="n">
        <v>65.3</v>
      </c>
      <c r="F12" s="5" t="n">
        <v>89.3</v>
      </c>
      <c r="G12" s="5" t="n">
        <v>412.6</v>
      </c>
    </row>
    <row r="13">
      <c r="A13" s="10" t="n">
        <v>46312</v>
      </c>
      <c r="B13" s="5" t="n">
        <v>52.5</v>
      </c>
      <c r="C13" s="5" t="n">
        <v>83.2</v>
      </c>
      <c r="D13" s="5" t="n">
        <v>116.8</v>
      </c>
      <c r="E13" s="5" t="n">
        <v>63.4</v>
      </c>
      <c r="F13" s="5" t="n">
        <v>101.1</v>
      </c>
      <c r="G13" s="5" t="n">
        <v>417.0000000000001</v>
      </c>
    </row>
    <row r="14">
      <c r="A14" s="10" t="n">
        <v>46313</v>
      </c>
      <c r="B14" s="5" t="n">
        <v>58.7</v>
      </c>
      <c r="C14" s="5" t="n">
        <v>75</v>
      </c>
      <c r="D14" s="5" t="n">
        <v>134.6</v>
      </c>
      <c r="E14" s="5" t="n">
        <v>72.8</v>
      </c>
      <c r="F14" s="5" t="n">
        <v>103.1</v>
      </c>
      <c r="G14" s="5" t="n">
        <v>444.1999999999999</v>
      </c>
    </row>
    <row r="15">
      <c r="A15" s="10" t="n">
        <v>46314</v>
      </c>
      <c r="B15" s="5" t="n">
        <v>63.2</v>
      </c>
      <c r="C15" s="5" t="n">
        <v>68.5</v>
      </c>
      <c r="D15" s="5" t="n">
        <v>122.2</v>
      </c>
      <c r="E15" s="5" t="n">
        <v>78.7</v>
      </c>
      <c r="F15" s="5" t="n">
        <v>106.8</v>
      </c>
      <c r="G15" s="5" t="n">
        <v>439.4</v>
      </c>
    </row>
    <row r="16">
      <c r="A16" s="10" t="n">
        <v>46315</v>
      </c>
      <c r="B16" s="5" t="n">
        <v>52.1</v>
      </c>
      <c r="C16" s="5" t="n">
        <v>74.5</v>
      </c>
      <c r="D16" s="5" t="n">
        <v>120.5</v>
      </c>
      <c r="E16" s="5" t="n">
        <v>64.59999999999999</v>
      </c>
      <c r="F16" s="5" t="n">
        <v>90.8</v>
      </c>
      <c r="G16" s="5" t="n">
        <v>402.5</v>
      </c>
    </row>
    <row r="17">
      <c r="A17" s="10" t="n">
        <v>46316</v>
      </c>
      <c r="B17" s="5" t="n">
        <v>67.90000000000001</v>
      </c>
      <c r="C17" s="5" t="n">
        <v>74.2</v>
      </c>
      <c r="D17" s="5" t="n">
        <v>115.1</v>
      </c>
      <c r="E17" s="5" t="n">
        <v>70.90000000000001</v>
      </c>
      <c r="F17" s="5" t="n">
        <v>85.2</v>
      </c>
      <c r="G17" s="5" t="n">
        <v>413.3000000000001</v>
      </c>
    </row>
    <row r="18">
      <c r="A18" s="10" t="n">
        <v>46317</v>
      </c>
      <c r="B18" s="5" t="n">
        <v>51.3</v>
      </c>
      <c r="C18" s="5" t="n">
        <v>79</v>
      </c>
      <c r="D18" s="5" t="n">
        <v>120.2</v>
      </c>
      <c r="E18" s="5" t="n">
        <v>72</v>
      </c>
      <c r="F18" s="5" t="n">
        <v>83.8</v>
      </c>
      <c r="G18" s="5" t="n">
        <v>406.3</v>
      </c>
    </row>
    <row r="19">
      <c r="A19" s="10" t="n">
        <v>46318</v>
      </c>
      <c r="B19" s="5" t="n">
        <v>65.90000000000001</v>
      </c>
      <c r="C19" s="5" t="n">
        <v>68</v>
      </c>
      <c r="D19" s="5" t="n">
        <v>104.7</v>
      </c>
      <c r="E19" s="5" t="n">
        <v>73.3</v>
      </c>
      <c r="F19" s="5" t="n">
        <v>90.2</v>
      </c>
      <c r="G19" s="5" t="n">
        <v>402.1</v>
      </c>
    </row>
    <row r="20">
      <c r="A20" s="10" t="n">
        <v>46319</v>
      </c>
      <c r="B20" s="5" t="n">
        <v>52.6</v>
      </c>
      <c r="C20" s="5" t="n">
        <v>71.59999999999999</v>
      </c>
      <c r="D20" s="5" t="n">
        <v>108.9</v>
      </c>
      <c r="E20" s="5" t="n">
        <v>79</v>
      </c>
      <c r="F20" s="5" t="n">
        <v>93.7</v>
      </c>
      <c r="G20" s="5" t="n">
        <v>405.8000000000001</v>
      </c>
    </row>
    <row r="21">
      <c r="A21" s="10" t="n">
        <v>46320</v>
      </c>
      <c r="B21" s="5" t="n">
        <v>67.7</v>
      </c>
      <c r="C21" s="5" t="n">
        <v>75.90000000000001</v>
      </c>
      <c r="D21" s="5" t="n">
        <v>116.5</v>
      </c>
      <c r="E21" s="5" t="n">
        <v>71.90000000000001</v>
      </c>
      <c r="F21" s="5" t="n">
        <v>94.8</v>
      </c>
      <c r="G21" s="5" t="n">
        <v>426.8</v>
      </c>
    </row>
    <row r="22">
      <c r="A22" t="inlineStr">
        <is>
          <t>Total général</t>
        </is>
      </c>
      <c r="B22" s="5" t="n">
        <v>886.8</v>
      </c>
      <c r="C22" s="5" t="n">
        <v>1164.5</v>
      </c>
      <c r="D22" s="5" t="n">
        <v>1761.7</v>
      </c>
      <c r="E22" s="5" t="n">
        <v>1057.9</v>
      </c>
      <c r="F22" s="5" t="n">
        <v>1421.2</v>
      </c>
      <c r="G22" s="5" t="n">
        <v>6292.099999999999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C9"/>
  <sheetViews>
    <sheetView workbookViewId="0">
      <selection activeCell="C6" sqref="C6"/>
    </sheetView>
  </sheetViews>
  <sheetFormatPr baseColWidth="10" defaultRowHeight="15"/>
  <cols>
    <col width="18.140625" bestFit="1" customWidth="1" min="1" max="1"/>
  </cols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2" t="n">
        <v>46320.46876157408</v>
      </c>
      <c r="B2" t="inlineStr">
        <is>
          <t>INFO</t>
        </is>
      </c>
      <c r="C2" t="inlineStr">
        <is>
          <t>Structure initiale creee</t>
        </is>
      </c>
    </row>
    <row r="3">
      <c r="A3" s="2" t="n">
        <v>46320.46876157408</v>
      </c>
      <c r="B3" t="inlineStr">
        <is>
          <t>INFO</t>
        </is>
      </c>
      <c r="C3" t="inlineStr">
        <is>
          <t>5 ligne(s) ajoutee(s) pour le 25/10/2026</t>
        </is>
      </c>
    </row>
    <row r="4">
      <c r="A4" s="2" t="n">
        <v>46320.4687962963</v>
      </c>
      <c r="B4" t="inlineStr">
        <is>
          <t>INFO</t>
        </is>
      </c>
      <c r="C4" t="inlineStr">
        <is>
          <t>Filtre applique : Nord</t>
        </is>
      </c>
    </row>
    <row r="5">
      <c r="A5" s="2" t="n">
        <v>46320.4687962963</v>
      </c>
      <c r="B5" t="inlineStr">
        <is>
          <t>INFO</t>
        </is>
      </c>
      <c r="C5" t="inlineStr">
        <is>
          <t>Visuel regenere</t>
        </is>
      </c>
    </row>
    <row r="6">
      <c r="A6" s="2" t="n">
        <v>46320.4687962963</v>
      </c>
      <c r="B6" t="inlineStr">
        <is>
          <t>ERREUR</t>
        </is>
      </c>
      <c r="C6" t="inlineStr">
        <is>
          <t>76 - Chemin d'accès introuvable</t>
        </is>
      </c>
    </row>
    <row r="7">
      <c r="A7" s="11" t="n">
        <v>46320.68808917764</v>
      </c>
      <c r="B7" t="inlineStr">
        <is>
          <t>INFO</t>
        </is>
      </c>
      <c r="C7" t="inlineStr">
        <is>
          <t>0 ligne(s) ajoutee(s) pour le 25/10/2026</t>
        </is>
      </c>
    </row>
    <row r="8">
      <c r="A8" s="11" t="n">
        <v>46320.68808917764</v>
      </c>
      <c r="B8" t="inlineStr">
        <is>
          <t>INFO</t>
        </is>
      </c>
      <c r="C8" t="inlineStr">
        <is>
          <t>Filtre applique : Nord</t>
        </is>
      </c>
    </row>
    <row r="9">
      <c r="A9" s="11" t="n">
        <v>46320.68808917764</v>
      </c>
      <c r="B9" t="inlineStr">
        <is>
          <t>INFO</t>
        </is>
      </c>
      <c r="C9" t="inlineStr">
        <is>
          <t>Visuel regenere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Jules Davoust</dc:creator>
  <dcterms:created xsi:type="dcterms:W3CDTF">2026-10-25T10:13:15Z</dcterms:created>
  <dcterms:modified xsi:type="dcterms:W3CDTF">2026-10-25T15:30:51Z</dcterms:modified>
  <cp:lastModifiedBy>Jules Davoust</cp:lastModifiedBy>
</cp:coreProperties>
</file>