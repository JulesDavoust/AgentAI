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les\Documents\Jules\Projects\AgentAI\examples\sortiesPy\"/>
    </mc:Choice>
  </mc:AlternateContent>
  <xr:revisionPtr revIDLastSave="0" documentId="13_ncr:1_{02BDFC56-B2C4-493F-92F2-2E670BA98A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euil1" sheetId="1" r:id="rId1"/>
    <sheet name="MVS_Base" sheetId="2" state="hidden" r:id="rId2"/>
    <sheet name="Feuille2" sheetId="3" r:id="rId3"/>
    <sheet name="Feuille1" sheetId="4" r:id="rId4"/>
    <sheet name="Log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E2" i="4"/>
  <c r="B2" i="4"/>
</calcChain>
</file>

<file path=xl/sharedStrings.xml><?xml version="1.0" encoding="utf-8"?>
<sst xmlns="http://schemas.openxmlformats.org/spreadsheetml/2006/main" count="217" uniqueCount="61">
  <si>
    <t>ISIN</t>
  </si>
  <si>
    <t>Libelle</t>
  </si>
  <si>
    <t>Statut</t>
  </si>
  <si>
    <t>Encours_MEUR</t>
  </si>
  <si>
    <t>Date_MAJ</t>
  </si>
  <si>
    <t>Commentaire</t>
  </si>
  <si>
    <t>FR0010000001</t>
  </si>
  <si>
    <t>FONDS ACTIONS EUROPE</t>
  </si>
  <si>
    <t>ACTIF</t>
  </si>
  <si>
    <t>1250.5</t>
  </si>
  <si>
    <t>01/10/2026</t>
  </si>
  <si>
    <t>FR0010000002</t>
  </si>
  <si>
    <t>FONDS OBLIG CORPORATE</t>
  </si>
  <si>
    <t>890.2</t>
  </si>
  <si>
    <t>28/09/2026</t>
  </si>
  <si>
    <t>RAS</t>
  </si>
  <si>
    <t>FR0010000003</t>
  </si>
  <si>
    <t>FONDS MONETAIRE EURO</t>
  </si>
  <si>
    <t>2310.0</t>
  </si>
  <si>
    <t>15/10/2026</t>
  </si>
  <si>
    <t>FR0010000004</t>
  </si>
  <si>
    <t>FONDS DIVERSIFIE PRUDENT</t>
  </si>
  <si>
    <t>455.8</t>
  </si>
  <si>
    <t>03/10/2026</t>
  </si>
  <si>
    <t>A SURVEILLER</t>
  </si>
  <si>
    <t>FR0010000005</t>
  </si>
  <si>
    <t>FONDS ACTIONS USA</t>
  </si>
  <si>
    <t>FERME</t>
  </si>
  <si>
    <t>120.4</t>
  </si>
  <si>
    <t>30/06/2026</t>
  </si>
  <si>
    <t>LIQUIDATION</t>
  </si>
  <si>
    <t>FR0010000006</t>
  </si>
  <si>
    <t>FONDS INFRA ENERGIE</t>
  </si>
  <si>
    <t>780.0</t>
  </si>
  <si>
    <t>20/10/2026</t>
  </si>
  <si>
    <t>Date</t>
  </si>
  <si>
    <t>Region</t>
  </si>
  <si>
    <t>Volume_GWh</t>
  </si>
  <si>
    <t>Temperature_C</t>
  </si>
  <si>
    <t>Nord</t>
  </si>
  <si>
    <t>Historique</t>
  </si>
  <si>
    <t>Sud</t>
  </si>
  <si>
    <t>Est</t>
  </si>
  <si>
    <t>Ouest</t>
  </si>
  <si>
    <t>Centre</t>
  </si>
  <si>
    <t>Phase de test</t>
  </si>
  <si>
    <t>Suivi distribution gaz - mis a jour le 27/10/2026 00:16</t>
  </si>
  <si>
    <t>Volume total (GWh)</t>
  </si>
  <si>
    <t>Moyenne / jour (GWh)</t>
  </si>
  <si>
    <t>Region du pic</t>
  </si>
  <si>
    <t>Horodatage</t>
  </si>
  <si>
    <t>Niveau</t>
  </si>
  <si>
    <t>Message</t>
  </si>
  <si>
    <t>INFO</t>
  </si>
  <si>
    <t>Structure initiale creee</t>
  </si>
  <si>
    <t>5 ligne(s) ajoutee(s) pour le 27/10/2026</t>
  </si>
  <si>
    <t>Filtre applique : Nord</t>
  </si>
  <si>
    <t>Étiquettes de lignes</t>
  </si>
  <si>
    <t>Total général</t>
  </si>
  <si>
    <t>Étiquettes de colonnes</t>
  </si>
  <si>
    <t>Volume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</si>
</sst>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dd/mm/yyyy\ hh:mm:ss"/>
    <numFmt numFmtId="167" formatCode="#,##0.0"/>
    <numFmt numFmtId="168" formatCode="#.##0\.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167" fontId="0" fillId="0" borderId="0" xfId="0" applyNumberFormat="1"/>
    <xf numFmtId="166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[classeur_vide.xlsx]Feuille1!TCD_Volume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fr-FR"/>
              <a:t>Volumes distribues par region (GWh)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Feuille1!$B$5:$B$6</c:f>
              <c:strCache>
                <c:ptCount val="1"/>
                <c:pt idx="0">
                  <c:v>Centre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16/10/2026</c:v>
                </c:pt>
                <c:pt idx="4">
                  <c:v>17/10/2026</c:v>
                </c:pt>
                <c:pt idx="5">
                  <c:v>18/10/2026</c:v>
                </c:pt>
                <c:pt idx="6">
                  <c:v>19/10/2026</c:v>
                </c:pt>
                <c:pt idx="7">
                  <c:v>20/10/2026</c:v>
                </c:pt>
                <c:pt idx="8">
                  <c:v>21/10/2026</c:v>
                </c:pt>
                <c:pt idx="9">
                  <c:v>22/10/2026</c:v>
                </c:pt>
                <c:pt idx="10">
                  <c:v>23/10/2026</c:v>
                </c:pt>
                <c:pt idx="11">
                  <c:v>24/10/2026</c:v>
                </c:pt>
                <c:pt idx="12">
                  <c:v>25/10/2026</c:v>
                </c:pt>
                <c:pt idx="13">
                  <c:v>26/10/2026</c:v>
                </c:pt>
                <c:pt idx="14">
                  <c:v>27/10/2026</c:v>
                </c:pt>
              </c:strCache>
            </c:strRef>
          </c:cat>
          <c:val>
            <c:numRef>
              <c:f>Feuille1!$B$7:$B$22</c:f>
              <c:numCache>
                <c:formatCode>#.##0\.0</c:formatCode>
                <c:ptCount val="15"/>
                <c:pt idx="0">
                  <c:v>64.8</c:v>
                </c:pt>
                <c:pt idx="1">
                  <c:v>56.9</c:v>
                </c:pt>
                <c:pt idx="2">
                  <c:v>58.3</c:v>
                </c:pt>
                <c:pt idx="3">
                  <c:v>59.1</c:v>
                </c:pt>
                <c:pt idx="4">
                  <c:v>64.599999999999994</c:v>
                </c:pt>
                <c:pt idx="5">
                  <c:v>65.2</c:v>
                </c:pt>
                <c:pt idx="6">
                  <c:v>60.9</c:v>
                </c:pt>
                <c:pt idx="7">
                  <c:v>53.7</c:v>
                </c:pt>
                <c:pt idx="8">
                  <c:v>53.6</c:v>
                </c:pt>
                <c:pt idx="9">
                  <c:v>67.900000000000006</c:v>
                </c:pt>
                <c:pt idx="10">
                  <c:v>62.5</c:v>
                </c:pt>
                <c:pt idx="11">
                  <c:v>54.8</c:v>
                </c:pt>
                <c:pt idx="12">
                  <c:v>66.7</c:v>
                </c:pt>
                <c:pt idx="13">
                  <c:v>51.9</c:v>
                </c:pt>
                <c:pt idx="14">
                  <c:v>68.400000000000006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9-4F6D-95D8-C5F8653E8E20}"/>
            </c:ext>
          </c:extLst>
        </c:ser>
        <c:ser>
          <c:idx val="1"/>
          <c:order val="1"/>
          <c:tx>
            <c:strRef>
              <c:f>Feuille1!$C$5:$C$6</c:f>
              <c:strCache>
                <c:ptCount val="1"/>
                <c:pt idx="0">
                  <c:v>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16/10/2026</c:v>
                </c:pt>
                <c:pt idx="4">
                  <c:v>17/10/2026</c:v>
                </c:pt>
                <c:pt idx="5">
                  <c:v>18/10/2026</c:v>
                </c:pt>
                <c:pt idx="6">
                  <c:v>19/10/2026</c:v>
                </c:pt>
                <c:pt idx="7">
                  <c:v>20/10/2026</c:v>
                </c:pt>
                <c:pt idx="8">
                  <c:v>21/10/2026</c:v>
                </c:pt>
                <c:pt idx="9">
                  <c:v>22/10/2026</c:v>
                </c:pt>
                <c:pt idx="10">
                  <c:v>23/10/2026</c:v>
                </c:pt>
                <c:pt idx="11">
                  <c:v>24/10/2026</c:v>
                </c:pt>
                <c:pt idx="12">
                  <c:v>25/10/2026</c:v>
                </c:pt>
                <c:pt idx="13">
                  <c:v>26/10/2026</c:v>
                </c:pt>
                <c:pt idx="14">
                  <c:v>27/10/2026</c:v>
                </c:pt>
              </c:strCache>
            </c:strRef>
          </c:cat>
          <c:val>
            <c:numRef>
              <c:f>Feuille1!$C$7:$C$22</c:f>
              <c:numCache>
                <c:formatCode>#.##0\.0</c:formatCode>
                <c:ptCount val="15"/>
                <c:pt idx="0">
                  <c:v>73.900000000000006</c:v>
                </c:pt>
                <c:pt idx="1">
                  <c:v>76.2</c:v>
                </c:pt>
                <c:pt idx="2">
                  <c:v>79.8</c:v>
                </c:pt>
                <c:pt idx="3">
                  <c:v>69.8</c:v>
                </c:pt>
                <c:pt idx="4">
                  <c:v>90.8</c:v>
                </c:pt>
                <c:pt idx="5">
                  <c:v>69.2</c:v>
                </c:pt>
                <c:pt idx="6">
                  <c:v>90.5</c:v>
                </c:pt>
                <c:pt idx="7">
                  <c:v>74</c:v>
                </c:pt>
                <c:pt idx="8">
                  <c:v>79.2</c:v>
                </c:pt>
                <c:pt idx="9">
                  <c:v>70.3</c:v>
                </c:pt>
                <c:pt idx="10">
                  <c:v>75.7</c:v>
                </c:pt>
                <c:pt idx="11">
                  <c:v>86.7</c:v>
                </c:pt>
                <c:pt idx="12">
                  <c:v>90.7</c:v>
                </c:pt>
                <c:pt idx="13">
                  <c:v>72.7</c:v>
                </c:pt>
                <c:pt idx="14">
                  <c:v>71.2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9-4F6D-95D8-C5F8653E8E20}"/>
            </c:ext>
          </c:extLst>
        </c:ser>
        <c:ser>
          <c:idx val="2"/>
          <c:order val="2"/>
          <c:tx>
            <c:strRef>
              <c:f>Feuille1!$D$5:$D$6</c:f>
              <c:strCache>
                <c:ptCount val="1"/>
                <c:pt idx="0">
                  <c:v>Nord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16/10/2026</c:v>
                </c:pt>
                <c:pt idx="4">
                  <c:v>17/10/2026</c:v>
                </c:pt>
                <c:pt idx="5">
                  <c:v>18/10/2026</c:v>
                </c:pt>
                <c:pt idx="6">
                  <c:v>19/10/2026</c:v>
                </c:pt>
                <c:pt idx="7">
                  <c:v>20/10/2026</c:v>
                </c:pt>
                <c:pt idx="8">
                  <c:v>21/10/2026</c:v>
                </c:pt>
                <c:pt idx="9">
                  <c:v>22/10/2026</c:v>
                </c:pt>
                <c:pt idx="10">
                  <c:v>23/10/2026</c:v>
                </c:pt>
                <c:pt idx="11">
                  <c:v>24/10/2026</c:v>
                </c:pt>
                <c:pt idx="12">
                  <c:v>25/10/2026</c:v>
                </c:pt>
                <c:pt idx="13">
                  <c:v>26/10/2026</c:v>
                </c:pt>
                <c:pt idx="14">
                  <c:v>27/10/2026</c:v>
                </c:pt>
              </c:strCache>
            </c:strRef>
          </c:cat>
          <c:val>
            <c:numRef>
              <c:f>Feuille1!$D$7:$D$22</c:f>
              <c:numCache>
                <c:formatCode>#.##0\.0</c:formatCode>
                <c:ptCount val="15"/>
                <c:pt idx="0">
                  <c:v>113.9</c:v>
                </c:pt>
                <c:pt idx="1">
                  <c:v>117.9</c:v>
                </c:pt>
                <c:pt idx="2">
                  <c:v>116.1</c:v>
                </c:pt>
                <c:pt idx="3">
                  <c:v>114.6</c:v>
                </c:pt>
                <c:pt idx="4">
                  <c:v>128.9</c:v>
                </c:pt>
                <c:pt idx="5">
                  <c:v>114.8</c:v>
                </c:pt>
                <c:pt idx="6">
                  <c:v>118.9</c:v>
                </c:pt>
                <c:pt idx="7">
                  <c:v>111.4</c:v>
                </c:pt>
                <c:pt idx="8">
                  <c:v>132.4</c:v>
                </c:pt>
                <c:pt idx="9">
                  <c:v>129.9</c:v>
                </c:pt>
                <c:pt idx="10">
                  <c:v>112.5</c:v>
                </c:pt>
                <c:pt idx="11">
                  <c:v>132.69999999999999</c:v>
                </c:pt>
                <c:pt idx="12">
                  <c:v>128.4</c:v>
                </c:pt>
                <c:pt idx="13">
                  <c:v>107.9</c:v>
                </c:pt>
                <c:pt idx="14">
                  <c:v>111.7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09-4F6D-95D8-C5F8653E8E20}"/>
            </c:ext>
          </c:extLst>
        </c:ser>
        <c:ser>
          <c:idx val="3"/>
          <c:order val="3"/>
          <c:tx>
            <c:strRef>
              <c:f>Feuille1!$E$5:$E$6</c:f>
              <c:strCache>
                <c:ptCount val="1"/>
                <c:pt idx="0">
                  <c:v>Ouest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16/10/2026</c:v>
                </c:pt>
                <c:pt idx="4">
                  <c:v>17/10/2026</c:v>
                </c:pt>
                <c:pt idx="5">
                  <c:v>18/10/2026</c:v>
                </c:pt>
                <c:pt idx="6">
                  <c:v>19/10/2026</c:v>
                </c:pt>
                <c:pt idx="7">
                  <c:v>20/10/2026</c:v>
                </c:pt>
                <c:pt idx="8">
                  <c:v>21/10/2026</c:v>
                </c:pt>
                <c:pt idx="9">
                  <c:v>22/10/2026</c:v>
                </c:pt>
                <c:pt idx="10">
                  <c:v>23/10/2026</c:v>
                </c:pt>
                <c:pt idx="11">
                  <c:v>24/10/2026</c:v>
                </c:pt>
                <c:pt idx="12">
                  <c:v>25/10/2026</c:v>
                </c:pt>
                <c:pt idx="13">
                  <c:v>26/10/2026</c:v>
                </c:pt>
                <c:pt idx="14">
                  <c:v>27/10/2026</c:v>
                </c:pt>
              </c:strCache>
            </c:strRef>
          </c:cat>
          <c:val>
            <c:numRef>
              <c:f>Feuille1!$E$7:$E$22</c:f>
              <c:numCache>
                <c:formatCode>#.##0\.0</c:formatCode>
                <c:ptCount val="15"/>
                <c:pt idx="0">
                  <c:v>76.400000000000006</c:v>
                </c:pt>
                <c:pt idx="1">
                  <c:v>72.900000000000006</c:v>
                </c:pt>
                <c:pt idx="2">
                  <c:v>63</c:v>
                </c:pt>
                <c:pt idx="3">
                  <c:v>60.4</c:v>
                </c:pt>
                <c:pt idx="4">
                  <c:v>69.7</c:v>
                </c:pt>
                <c:pt idx="5">
                  <c:v>68.599999999999994</c:v>
                </c:pt>
                <c:pt idx="6">
                  <c:v>69</c:v>
                </c:pt>
                <c:pt idx="7">
                  <c:v>72.400000000000006</c:v>
                </c:pt>
                <c:pt idx="8">
                  <c:v>60</c:v>
                </c:pt>
                <c:pt idx="9">
                  <c:v>60.4</c:v>
                </c:pt>
                <c:pt idx="10">
                  <c:v>73.900000000000006</c:v>
                </c:pt>
                <c:pt idx="11">
                  <c:v>80.2</c:v>
                </c:pt>
                <c:pt idx="12">
                  <c:v>72.599999999999994</c:v>
                </c:pt>
                <c:pt idx="13">
                  <c:v>65.8</c:v>
                </c:pt>
                <c:pt idx="14">
                  <c:v>77.599999999999994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09-4F6D-95D8-C5F8653E8E20}"/>
            </c:ext>
          </c:extLst>
        </c:ser>
        <c:ser>
          <c:idx val="4"/>
          <c:order val="4"/>
          <c:tx>
            <c:strRef>
              <c:f>Feuille1!$F$5:$F$6</c:f>
              <c:strCache>
                <c:ptCount val="1"/>
                <c:pt idx="0">
                  <c:v>Sud</c:v>
                </c:pt>
              </c:strCache>
            </c:strRef>
          </c:tx>
          <c:marker>
            <c:symbol val="none"/>
          </c:marker>
          <c:cat>
            <c:strRef>
              <c:f>Feuille1!$A$7:$A$22</c:f>
              <c:strCache>
                <c:ptCount val="15"/>
                <c:pt idx="0">
                  <c:v>13/10/2026</c:v>
                </c:pt>
                <c:pt idx="1">
                  <c:v>14/10/2026</c:v>
                </c:pt>
                <c:pt idx="2">
                  <c:v>15/10/2026</c:v>
                </c:pt>
                <c:pt idx="3">
                  <c:v>16/10/2026</c:v>
                </c:pt>
                <c:pt idx="4">
                  <c:v>17/10/2026</c:v>
                </c:pt>
                <c:pt idx="5">
                  <c:v>18/10/2026</c:v>
                </c:pt>
                <c:pt idx="6">
                  <c:v>19/10/2026</c:v>
                </c:pt>
                <c:pt idx="7">
                  <c:v>20/10/2026</c:v>
                </c:pt>
                <c:pt idx="8">
                  <c:v>21/10/2026</c:v>
                </c:pt>
                <c:pt idx="9">
                  <c:v>22/10/2026</c:v>
                </c:pt>
                <c:pt idx="10">
                  <c:v>23/10/2026</c:v>
                </c:pt>
                <c:pt idx="11">
                  <c:v>24/10/2026</c:v>
                </c:pt>
                <c:pt idx="12">
                  <c:v>25/10/2026</c:v>
                </c:pt>
                <c:pt idx="13">
                  <c:v>26/10/2026</c:v>
                </c:pt>
                <c:pt idx="14">
                  <c:v>27/10/2026</c:v>
                </c:pt>
              </c:strCache>
            </c:strRef>
          </c:cat>
          <c:val>
            <c:numRef>
              <c:f>Feuille1!$F$7:$F$22</c:f>
              <c:numCache>
                <c:formatCode>#.##0\.0</c:formatCode>
                <c:ptCount val="15"/>
                <c:pt idx="0">
                  <c:v>99.1</c:v>
                </c:pt>
                <c:pt idx="1">
                  <c:v>87.6</c:v>
                </c:pt>
                <c:pt idx="2">
                  <c:v>101</c:v>
                </c:pt>
                <c:pt idx="3">
                  <c:v>96.9</c:v>
                </c:pt>
                <c:pt idx="4">
                  <c:v>86.2</c:v>
                </c:pt>
                <c:pt idx="5">
                  <c:v>86.3</c:v>
                </c:pt>
                <c:pt idx="6">
                  <c:v>98.3</c:v>
                </c:pt>
                <c:pt idx="7">
                  <c:v>100</c:v>
                </c:pt>
                <c:pt idx="8">
                  <c:v>91.4</c:v>
                </c:pt>
                <c:pt idx="9">
                  <c:v>91</c:v>
                </c:pt>
                <c:pt idx="10">
                  <c:v>102</c:v>
                </c:pt>
                <c:pt idx="11">
                  <c:v>88.1</c:v>
                </c:pt>
                <c:pt idx="12">
                  <c:v>105.8</c:v>
                </c:pt>
                <c:pt idx="13">
                  <c:v>85.2</c:v>
                </c:pt>
                <c:pt idx="14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09-4F6D-95D8-C5F8653E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238048"/>
        <c:axId val="370794096"/>
      </c:lineChart>
      <c:catAx>
        <c:axId val="162423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0794096"/>
        <c:crosses val="autoZero"/>
        <c:auto val="1"/>
        <c:lblAlgn val="ctr"/>
        <c:lblOffset val="100"/>
        <c:noMultiLvlLbl val="0"/>
      </c:catAx>
      <c:valAx>
        <c:axId val="370794096"/>
        <c:scaling>
          <c:orientation val="minMax"/>
        </c:scaling>
        <c:delete val="0"/>
        <c:axPos val="l"/>
        <c:majorGridlines/>
        <c:numFmt formatCode="#.##0\.0" sourceLinked="1"/>
        <c:majorTickMark val="out"/>
        <c:minorTickMark val="none"/>
        <c:tickLblPos val="nextTo"/>
        <c:crossAx val="162423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508000</xdr:colOff>
      <xdr:row>24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1B98F1-99E7-963C-3D51-D48EEF7B6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s" refreshedDate="46322.011172453706" createdVersion="8" refreshedVersion="8" minRefreshableVersion="3" recordCount="75" xr:uid="{82F8060F-BC19-4474-9FFE-9B0957F808AB}">
  <cacheSource type="worksheet">
    <worksheetSource name="tblDonnees"/>
  </cacheSource>
  <cacheFields count="5">
    <cacheField name="Date" numFmtId="14">
      <sharedItems containsSemiMixedTypes="0" containsNonDate="0" containsDate="1" containsString="0" minDate="2026-10-13T00:00:00" maxDate="2026-10-28T00:00:00" count="15"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</sharedItems>
    </cacheField>
    <cacheField name="Region" numFmtId="0">
      <sharedItems count="5">
        <s v="Nord"/>
        <s v="Sud"/>
        <s v="Est"/>
        <s v="Ouest"/>
        <s v="Centre"/>
      </sharedItems>
    </cacheField>
    <cacheField name="Volume_GWh" numFmtId="0">
      <sharedItems containsSemiMixedTypes="0" containsString="0" containsNumber="1" minValue="51.9" maxValue="132.69999999999999"/>
    </cacheField>
    <cacheField name="Temperature_C" numFmtId="0">
      <sharedItems containsSemiMixedTypes="0" containsString="0" containsNumber="1" minValue="2.1" maxValue="15.8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n v="113.9"/>
    <n v="6.6"/>
    <s v="Historique"/>
  </r>
  <r>
    <x v="0"/>
    <x v="1"/>
    <n v="99.1"/>
    <n v="2.1"/>
    <s v="Historique"/>
  </r>
  <r>
    <x v="0"/>
    <x v="2"/>
    <n v="73.900000000000006"/>
    <n v="13.8"/>
    <s v="Historique"/>
  </r>
  <r>
    <x v="0"/>
    <x v="3"/>
    <n v="76.400000000000006"/>
    <n v="11"/>
    <s v="Historique"/>
  </r>
  <r>
    <x v="0"/>
    <x v="4"/>
    <n v="64.8"/>
    <n v="10.8"/>
    <s v="Historique"/>
  </r>
  <r>
    <x v="1"/>
    <x v="0"/>
    <n v="117.9"/>
    <n v="14.9"/>
    <s v="Historique"/>
  </r>
  <r>
    <x v="1"/>
    <x v="1"/>
    <n v="87.6"/>
    <n v="9.6"/>
    <s v="Historique"/>
  </r>
  <r>
    <x v="1"/>
    <x v="2"/>
    <n v="76.2"/>
    <n v="7.8"/>
    <s v="Historique"/>
  </r>
  <r>
    <x v="1"/>
    <x v="3"/>
    <n v="72.900000000000006"/>
    <n v="10"/>
    <s v="Historique"/>
  </r>
  <r>
    <x v="1"/>
    <x v="4"/>
    <n v="56.9"/>
    <n v="6.8"/>
    <s v="Historique"/>
  </r>
  <r>
    <x v="2"/>
    <x v="0"/>
    <n v="116.1"/>
    <n v="7.9"/>
    <s v="Historique"/>
  </r>
  <r>
    <x v="2"/>
    <x v="1"/>
    <n v="101"/>
    <n v="11.3"/>
    <s v="Historique"/>
  </r>
  <r>
    <x v="2"/>
    <x v="2"/>
    <n v="79.8"/>
    <n v="12.8"/>
    <s v="Historique"/>
  </r>
  <r>
    <x v="2"/>
    <x v="3"/>
    <n v="63"/>
    <n v="3.8"/>
    <s v="Historique"/>
  </r>
  <r>
    <x v="2"/>
    <x v="4"/>
    <n v="58.3"/>
    <n v="4.7"/>
    <s v="Historique"/>
  </r>
  <r>
    <x v="3"/>
    <x v="0"/>
    <n v="114.6"/>
    <n v="12.5"/>
    <s v="Historique"/>
  </r>
  <r>
    <x v="3"/>
    <x v="1"/>
    <n v="96.9"/>
    <n v="5.5"/>
    <s v="Historique"/>
  </r>
  <r>
    <x v="3"/>
    <x v="2"/>
    <n v="69.8"/>
    <n v="9.4"/>
    <s v="Historique"/>
  </r>
  <r>
    <x v="3"/>
    <x v="3"/>
    <n v="60.4"/>
    <n v="5.0999999999999996"/>
    <s v="Historique"/>
  </r>
  <r>
    <x v="3"/>
    <x v="4"/>
    <n v="59.1"/>
    <n v="13.4"/>
    <s v="Historique"/>
  </r>
  <r>
    <x v="4"/>
    <x v="0"/>
    <n v="128.9"/>
    <n v="10.8"/>
    <s v="Historique"/>
  </r>
  <r>
    <x v="4"/>
    <x v="1"/>
    <n v="86.2"/>
    <n v="10.9"/>
    <s v="Historique"/>
  </r>
  <r>
    <x v="4"/>
    <x v="2"/>
    <n v="90.8"/>
    <n v="6.6"/>
    <s v="Historique"/>
  </r>
  <r>
    <x v="4"/>
    <x v="3"/>
    <n v="69.7"/>
    <n v="10.6"/>
    <s v="Historique"/>
  </r>
  <r>
    <x v="4"/>
    <x v="4"/>
    <n v="64.599999999999994"/>
    <n v="6.5"/>
    <s v="Historique"/>
  </r>
  <r>
    <x v="5"/>
    <x v="0"/>
    <n v="114.8"/>
    <n v="15.7"/>
    <s v="Historique"/>
  </r>
  <r>
    <x v="5"/>
    <x v="1"/>
    <n v="86.3"/>
    <n v="6.4"/>
    <s v="Historique"/>
  </r>
  <r>
    <x v="5"/>
    <x v="2"/>
    <n v="69.2"/>
    <n v="8.9"/>
    <s v="Historique"/>
  </r>
  <r>
    <x v="5"/>
    <x v="3"/>
    <n v="68.599999999999994"/>
    <n v="4.7"/>
    <s v="Historique"/>
  </r>
  <r>
    <x v="5"/>
    <x v="4"/>
    <n v="65.2"/>
    <n v="12.1"/>
    <s v="Historique"/>
  </r>
  <r>
    <x v="6"/>
    <x v="0"/>
    <n v="118.9"/>
    <n v="14.4"/>
    <s v="Historique"/>
  </r>
  <r>
    <x v="6"/>
    <x v="1"/>
    <n v="98.3"/>
    <n v="12.4"/>
    <s v="Historique"/>
  </r>
  <r>
    <x v="6"/>
    <x v="2"/>
    <n v="90.5"/>
    <n v="2.2999999999999998"/>
    <s v="Historique"/>
  </r>
  <r>
    <x v="6"/>
    <x v="3"/>
    <n v="69"/>
    <n v="11.4"/>
    <s v="Historique"/>
  </r>
  <r>
    <x v="6"/>
    <x v="4"/>
    <n v="60.9"/>
    <n v="5.6"/>
    <s v="Historique"/>
  </r>
  <r>
    <x v="7"/>
    <x v="0"/>
    <n v="111.4"/>
    <n v="2.2000000000000002"/>
    <s v="Historique"/>
  </r>
  <r>
    <x v="7"/>
    <x v="1"/>
    <n v="100"/>
    <n v="12.1"/>
    <s v="Historique"/>
  </r>
  <r>
    <x v="7"/>
    <x v="2"/>
    <n v="74"/>
    <n v="3.4"/>
    <s v="Historique"/>
  </r>
  <r>
    <x v="7"/>
    <x v="3"/>
    <n v="72.400000000000006"/>
    <n v="2.6"/>
    <s v="Historique"/>
  </r>
  <r>
    <x v="7"/>
    <x v="4"/>
    <n v="53.7"/>
    <n v="10.199999999999999"/>
    <s v="Historique"/>
  </r>
  <r>
    <x v="8"/>
    <x v="0"/>
    <n v="132.4"/>
    <n v="5.9"/>
    <s v="Historique"/>
  </r>
  <r>
    <x v="8"/>
    <x v="1"/>
    <n v="91.4"/>
    <n v="3.4"/>
    <s v="Historique"/>
  </r>
  <r>
    <x v="8"/>
    <x v="2"/>
    <n v="79.2"/>
    <n v="5.5"/>
    <s v="Historique"/>
  </r>
  <r>
    <x v="8"/>
    <x v="3"/>
    <n v="60"/>
    <n v="5.8"/>
    <s v="Historique"/>
  </r>
  <r>
    <x v="8"/>
    <x v="4"/>
    <n v="53.6"/>
    <n v="4.2"/>
    <s v="Historique"/>
  </r>
  <r>
    <x v="9"/>
    <x v="0"/>
    <n v="129.9"/>
    <n v="7.7"/>
    <s v="Historique"/>
  </r>
  <r>
    <x v="9"/>
    <x v="1"/>
    <n v="91"/>
    <n v="12.4"/>
    <s v="Historique"/>
  </r>
  <r>
    <x v="9"/>
    <x v="2"/>
    <n v="70.3"/>
    <n v="11.3"/>
    <s v="Historique"/>
  </r>
  <r>
    <x v="9"/>
    <x v="3"/>
    <n v="60.4"/>
    <n v="5.8"/>
    <s v="Historique"/>
  </r>
  <r>
    <x v="9"/>
    <x v="4"/>
    <n v="67.900000000000006"/>
    <n v="10.5"/>
    <s v="Historique"/>
  </r>
  <r>
    <x v="10"/>
    <x v="0"/>
    <n v="112.5"/>
    <n v="3.8"/>
    <s v="Historique"/>
  </r>
  <r>
    <x v="10"/>
    <x v="1"/>
    <n v="102"/>
    <n v="9.6999999999999993"/>
    <s v="Historique"/>
  </r>
  <r>
    <x v="10"/>
    <x v="2"/>
    <n v="75.7"/>
    <n v="2.6"/>
    <s v="Historique"/>
  </r>
  <r>
    <x v="10"/>
    <x v="3"/>
    <n v="73.900000000000006"/>
    <n v="12"/>
    <s v="Historique"/>
  </r>
  <r>
    <x v="10"/>
    <x v="4"/>
    <n v="62.5"/>
    <n v="11.5"/>
    <s v="Historique"/>
  </r>
  <r>
    <x v="11"/>
    <x v="0"/>
    <n v="132.69999999999999"/>
    <n v="5.9"/>
    <s v="Historique"/>
  </r>
  <r>
    <x v="11"/>
    <x v="1"/>
    <n v="88.1"/>
    <n v="2.5"/>
    <s v="Historique"/>
  </r>
  <r>
    <x v="11"/>
    <x v="2"/>
    <n v="86.7"/>
    <n v="2.7"/>
    <s v="Historique"/>
  </r>
  <r>
    <x v="11"/>
    <x v="3"/>
    <n v="80.2"/>
    <n v="12.6"/>
    <s v="Historique"/>
  </r>
  <r>
    <x v="11"/>
    <x v="4"/>
    <n v="54.8"/>
    <n v="12.3"/>
    <s v="Historique"/>
  </r>
  <r>
    <x v="12"/>
    <x v="0"/>
    <n v="128.4"/>
    <n v="2.6"/>
    <s v="Historique"/>
  </r>
  <r>
    <x v="12"/>
    <x v="1"/>
    <n v="105.8"/>
    <n v="7.4"/>
    <s v="Historique"/>
  </r>
  <r>
    <x v="12"/>
    <x v="2"/>
    <n v="90.7"/>
    <n v="14.3"/>
    <s v="Historique"/>
  </r>
  <r>
    <x v="12"/>
    <x v="3"/>
    <n v="72.599999999999994"/>
    <n v="7.7"/>
    <s v="Historique"/>
  </r>
  <r>
    <x v="12"/>
    <x v="4"/>
    <n v="66.7"/>
    <n v="11.6"/>
    <s v="Historique"/>
  </r>
  <r>
    <x v="13"/>
    <x v="0"/>
    <n v="107.9"/>
    <n v="6.2"/>
    <s v="Historique"/>
  </r>
  <r>
    <x v="13"/>
    <x v="1"/>
    <n v="85.2"/>
    <n v="7.9"/>
    <s v="Historique"/>
  </r>
  <r>
    <x v="13"/>
    <x v="2"/>
    <n v="72.7"/>
    <n v="15.8"/>
    <s v="Historique"/>
  </r>
  <r>
    <x v="13"/>
    <x v="3"/>
    <n v="65.8"/>
    <n v="13.3"/>
    <s v="Historique"/>
  </r>
  <r>
    <x v="13"/>
    <x v="4"/>
    <n v="51.9"/>
    <n v="14.6"/>
    <s v="Historique"/>
  </r>
  <r>
    <x v="14"/>
    <x v="0"/>
    <n v="111.7"/>
    <n v="10.6"/>
    <s v="Phase de test"/>
  </r>
  <r>
    <x v="14"/>
    <x v="1"/>
    <n v="96.9"/>
    <n v="12.6"/>
    <s v="Phase de test"/>
  </r>
  <r>
    <x v="14"/>
    <x v="2"/>
    <n v="71.2"/>
    <n v="13.5"/>
    <s v="Phase de test"/>
  </r>
  <r>
    <x v="14"/>
    <x v="3"/>
    <n v="77.599999999999994"/>
    <n v="6.4"/>
    <s v="Phase de test"/>
  </r>
  <r>
    <x v="14"/>
    <x v="4"/>
    <n v="68.400000000000006"/>
    <n v="11.8"/>
    <s v="Phase de t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34391-6164-4024-806D-AA0248AB38C6}" name="TCD_Volume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5:G22" firstHeaderRow="1" firstDataRow="2" firstDataCol="1"/>
  <pivotFields count="5"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6">
        <item x="4"/>
        <item x="2"/>
        <item x="0"/>
        <item x="3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Volume (GWh)" fld="2" baseField="0" baseItem="0" numFmtId="168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nnees" displayName="tblDonnees" ref="A1:E76">
  <autoFilter ref="A1:E76" xr:uid="{00000000-0009-0000-0100-000001000000}">
    <filterColumn colId="1">
      <filters>
        <filter val="Nord"/>
      </filters>
    </filterColumn>
  </autoFilter>
  <tableColumns count="5">
    <tableColumn id="1" xr3:uid="{00000000-0010-0000-0000-000001000000}" name="Date"/>
    <tableColumn id="2" xr3:uid="{00000000-0010-0000-0000-000002000000}" name="Region"/>
    <tableColumn id="3" xr3:uid="{00000000-0010-0000-0000-000003000000}" name="Volume_GWh"/>
    <tableColumn id="4" xr3:uid="{00000000-0010-0000-0000-000004000000}" name="Temperature_C"/>
    <tableColumn id="5" xr3:uid="{00000000-0010-0000-0000-000005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40" zoomScaleNormal="40" workbookViewId="0">
      <selection activeCell="Q52" sqref="Q52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spans="1:6" x14ac:dyDescent="0.25">
      <c r="A3" s="1" t="s">
        <v>11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/>
    </row>
    <row r="5" spans="1:6" x14ac:dyDescent="0.25">
      <c r="A5" s="1" t="s">
        <v>20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25">
      <c r="A7" s="1" t="s">
        <v>31</v>
      </c>
      <c r="B7" s="1" t="s">
        <v>32</v>
      </c>
      <c r="C7" s="1" t="s">
        <v>8</v>
      </c>
      <c r="D7" s="1" t="s">
        <v>33</v>
      </c>
      <c r="E7" s="1" t="s">
        <v>34</v>
      </c>
      <c r="F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baseColWidth="10" defaultColWidth="9.140625" defaultRowHeight="15" x14ac:dyDescent="0.25"/>
  <cols>
    <col min="1" max="1" width="12" style="2" customWidth="1"/>
    <col min="2" max="2" width="8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2</v>
      </c>
    </row>
    <row r="2" spans="1:5" x14ac:dyDescent="0.25">
      <c r="A2" s="2">
        <v>46308</v>
      </c>
      <c r="B2" t="s">
        <v>39</v>
      </c>
      <c r="C2">
        <v>113.9</v>
      </c>
      <c r="D2">
        <v>6.6</v>
      </c>
      <c r="E2" t="s">
        <v>40</v>
      </c>
    </row>
    <row r="3" spans="1:5" hidden="1" x14ac:dyDescent="0.25">
      <c r="A3" s="2">
        <v>46308</v>
      </c>
      <c r="B3" t="s">
        <v>41</v>
      </c>
      <c r="C3">
        <v>99.1</v>
      </c>
      <c r="D3">
        <v>2.1</v>
      </c>
      <c r="E3" t="s">
        <v>40</v>
      </c>
    </row>
    <row r="4" spans="1:5" hidden="1" x14ac:dyDescent="0.25">
      <c r="A4" s="2">
        <v>46308</v>
      </c>
      <c r="B4" t="s">
        <v>42</v>
      </c>
      <c r="C4">
        <v>73.900000000000006</v>
      </c>
      <c r="D4">
        <v>13.8</v>
      </c>
      <c r="E4" t="s">
        <v>40</v>
      </c>
    </row>
    <row r="5" spans="1:5" hidden="1" x14ac:dyDescent="0.25">
      <c r="A5" s="2">
        <v>46308</v>
      </c>
      <c r="B5" t="s">
        <v>43</v>
      </c>
      <c r="C5">
        <v>76.400000000000006</v>
      </c>
      <c r="D5">
        <v>11</v>
      </c>
      <c r="E5" t="s">
        <v>40</v>
      </c>
    </row>
    <row r="6" spans="1:5" hidden="1" x14ac:dyDescent="0.25">
      <c r="A6" s="2">
        <v>46308</v>
      </c>
      <c r="B6" t="s">
        <v>44</v>
      </c>
      <c r="C6">
        <v>64.8</v>
      </c>
      <c r="D6">
        <v>10.8</v>
      </c>
      <c r="E6" t="s">
        <v>40</v>
      </c>
    </row>
    <row r="7" spans="1:5" x14ac:dyDescent="0.25">
      <c r="A7" s="2">
        <v>46309</v>
      </c>
      <c r="B7" t="s">
        <v>39</v>
      </c>
      <c r="C7">
        <v>117.9</v>
      </c>
      <c r="D7">
        <v>14.9</v>
      </c>
      <c r="E7" t="s">
        <v>40</v>
      </c>
    </row>
    <row r="8" spans="1:5" hidden="1" x14ac:dyDescent="0.25">
      <c r="A8" s="2">
        <v>46309</v>
      </c>
      <c r="B8" t="s">
        <v>41</v>
      </c>
      <c r="C8">
        <v>87.6</v>
      </c>
      <c r="D8">
        <v>9.6</v>
      </c>
      <c r="E8" t="s">
        <v>40</v>
      </c>
    </row>
    <row r="9" spans="1:5" hidden="1" x14ac:dyDescent="0.25">
      <c r="A9" s="2">
        <v>46309</v>
      </c>
      <c r="B9" t="s">
        <v>42</v>
      </c>
      <c r="C9">
        <v>76.2</v>
      </c>
      <c r="D9">
        <v>7.8</v>
      </c>
      <c r="E9" t="s">
        <v>40</v>
      </c>
    </row>
    <row r="10" spans="1:5" hidden="1" x14ac:dyDescent="0.25">
      <c r="A10" s="2">
        <v>46309</v>
      </c>
      <c r="B10" t="s">
        <v>43</v>
      </c>
      <c r="C10">
        <v>72.900000000000006</v>
      </c>
      <c r="D10">
        <v>10</v>
      </c>
      <c r="E10" t="s">
        <v>40</v>
      </c>
    </row>
    <row r="11" spans="1:5" hidden="1" x14ac:dyDescent="0.25">
      <c r="A11" s="2">
        <v>46309</v>
      </c>
      <c r="B11" t="s">
        <v>44</v>
      </c>
      <c r="C11">
        <v>56.9</v>
      </c>
      <c r="D11">
        <v>6.8</v>
      </c>
      <c r="E11" t="s">
        <v>40</v>
      </c>
    </row>
    <row r="12" spans="1:5" x14ac:dyDescent="0.25">
      <c r="A12" s="2">
        <v>46310</v>
      </c>
      <c r="B12" t="s">
        <v>39</v>
      </c>
      <c r="C12">
        <v>116.1</v>
      </c>
      <c r="D12">
        <v>7.9</v>
      </c>
      <c r="E12" t="s">
        <v>40</v>
      </c>
    </row>
    <row r="13" spans="1:5" hidden="1" x14ac:dyDescent="0.25">
      <c r="A13" s="2">
        <v>46310</v>
      </c>
      <c r="B13" t="s">
        <v>41</v>
      </c>
      <c r="C13">
        <v>101</v>
      </c>
      <c r="D13">
        <v>11.3</v>
      </c>
      <c r="E13" t="s">
        <v>40</v>
      </c>
    </row>
    <row r="14" spans="1:5" hidden="1" x14ac:dyDescent="0.25">
      <c r="A14" s="2">
        <v>46310</v>
      </c>
      <c r="B14" t="s">
        <v>42</v>
      </c>
      <c r="C14">
        <v>79.8</v>
      </c>
      <c r="D14">
        <v>12.8</v>
      </c>
      <c r="E14" t="s">
        <v>40</v>
      </c>
    </row>
    <row r="15" spans="1:5" hidden="1" x14ac:dyDescent="0.25">
      <c r="A15" s="2">
        <v>46310</v>
      </c>
      <c r="B15" t="s">
        <v>43</v>
      </c>
      <c r="C15">
        <v>63</v>
      </c>
      <c r="D15">
        <v>3.8</v>
      </c>
      <c r="E15" t="s">
        <v>40</v>
      </c>
    </row>
    <row r="16" spans="1:5" hidden="1" x14ac:dyDescent="0.25">
      <c r="A16" s="2">
        <v>46310</v>
      </c>
      <c r="B16" t="s">
        <v>44</v>
      </c>
      <c r="C16">
        <v>58.3</v>
      </c>
      <c r="D16">
        <v>4.7</v>
      </c>
      <c r="E16" t="s">
        <v>40</v>
      </c>
    </row>
    <row r="17" spans="1:5" x14ac:dyDescent="0.25">
      <c r="A17" s="2">
        <v>46311</v>
      </c>
      <c r="B17" t="s">
        <v>39</v>
      </c>
      <c r="C17">
        <v>114.6</v>
      </c>
      <c r="D17">
        <v>12.5</v>
      </c>
      <c r="E17" t="s">
        <v>40</v>
      </c>
    </row>
    <row r="18" spans="1:5" hidden="1" x14ac:dyDescent="0.25">
      <c r="A18" s="2">
        <v>46311</v>
      </c>
      <c r="B18" t="s">
        <v>41</v>
      </c>
      <c r="C18">
        <v>96.9</v>
      </c>
      <c r="D18">
        <v>5.5</v>
      </c>
      <c r="E18" t="s">
        <v>40</v>
      </c>
    </row>
    <row r="19" spans="1:5" hidden="1" x14ac:dyDescent="0.25">
      <c r="A19" s="2">
        <v>46311</v>
      </c>
      <c r="B19" t="s">
        <v>42</v>
      </c>
      <c r="C19">
        <v>69.8</v>
      </c>
      <c r="D19">
        <v>9.4</v>
      </c>
      <c r="E19" t="s">
        <v>40</v>
      </c>
    </row>
    <row r="20" spans="1:5" hidden="1" x14ac:dyDescent="0.25">
      <c r="A20" s="2">
        <v>46311</v>
      </c>
      <c r="B20" t="s">
        <v>43</v>
      </c>
      <c r="C20">
        <v>60.4</v>
      </c>
      <c r="D20">
        <v>5.0999999999999996</v>
      </c>
      <c r="E20" t="s">
        <v>40</v>
      </c>
    </row>
    <row r="21" spans="1:5" hidden="1" x14ac:dyDescent="0.25">
      <c r="A21" s="2">
        <v>46311</v>
      </c>
      <c r="B21" t="s">
        <v>44</v>
      </c>
      <c r="C21">
        <v>59.1</v>
      </c>
      <c r="D21">
        <v>13.4</v>
      </c>
      <c r="E21" t="s">
        <v>40</v>
      </c>
    </row>
    <row r="22" spans="1:5" x14ac:dyDescent="0.25">
      <c r="A22" s="2">
        <v>46312</v>
      </c>
      <c r="B22" t="s">
        <v>39</v>
      </c>
      <c r="C22">
        <v>128.9</v>
      </c>
      <c r="D22">
        <v>10.8</v>
      </c>
      <c r="E22" t="s">
        <v>40</v>
      </c>
    </row>
    <row r="23" spans="1:5" hidden="1" x14ac:dyDescent="0.25">
      <c r="A23" s="2">
        <v>46312</v>
      </c>
      <c r="B23" t="s">
        <v>41</v>
      </c>
      <c r="C23">
        <v>86.2</v>
      </c>
      <c r="D23">
        <v>10.9</v>
      </c>
      <c r="E23" t="s">
        <v>40</v>
      </c>
    </row>
    <row r="24" spans="1:5" hidden="1" x14ac:dyDescent="0.25">
      <c r="A24" s="2">
        <v>46312</v>
      </c>
      <c r="B24" t="s">
        <v>42</v>
      </c>
      <c r="C24">
        <v>90.8</v>
      </c>
      <c r="D24">
        <v>6.6</v>
      </c>
      <c r="E24" t="s">
        <v>40</v>
      </c>
    </row>
    <row r="25" spans="1:5" hidden="1" x14ac:dyDescent="0.25">
      <c r="A25" s="2">
        <v>46312</v>
      </c>
      <c r="B25" t="s">
        <v>43</v>
      </c>
      <c r="C25">
        <v>69.7</v>
      </c>
      <c r="D25">
        <v>10.6</v>
      </c>
      <c r="E25" t="s">
        <v>40</v>
      </c>
    </row>
    <row r="26" spans="1:5" hidden="1" x14ac:dyDescent="0.25">
      <c r="A26" s="2">
        <v>46312</v>
      </c>
      <c r="B26" t="s">
        <v>44</v>
      </c>
      <c r="C26">
        <v>64.599999999999994</v>
      </c>
      <c r="D26">
        <v>6.5</v>
      </c>
      <c r="E26" t="s">
        <v>40</v>
      </c>
    </row>
    <row r="27" spans="1:5" x14ac:dyDescent="0.25">
      <c r="A27" s="2">
        <v>46313</v>
      </c>
      <c r="B27" t="s">
        <v>39</v>
      </c>
      <c r="C27">
        <v>114.8</v>
      </c>
      <c r="D27">
        <v>15.7</v>
      </c>
      <c r="E27" t="s">
        <v>40</v>
      </c>
    </row>
    <row r="28" spans="1:5" hidden="1" x14ac:dyDescent="0.25">
      <c r="A28" s="2">
        <v>46313</v>
      </c>
      <c r="B28" t="s">
        <v>41</v>
      </c>
      <c r="C28">
        <v>86.3</v>
      </c>
      <c r="D28">
        <v>6.4</v>
      </c>
      <c r="E28" t="s">
        <v>40</v>
      </c>
    </row>
    <row r="29" spans="1:5" hidden="1" x14ac:dyDescent="0.25">
      <c r="A29" s="2">
        <v>46313</v>
      </c>
      <c r="B29" t="s">
        <v>42</v>
      </c>
      <c r="C29">
        <v>69.2</v>
      </c>
      <c r="D29">
        <v>8.9</v>
      </c>
      <c r="E29" t="s">
        <v>40</v>
      </c>
    </row>
    <row r="30" spans="1:5" hidden="1" x14ac:dyDescent="0.25">
      <c r="A30" s="2">
        <v>46313</v>
      </c>
      <c r="B30" t="s">
        <v>43</v>
      </c>
      <c r="C30">
        <v>68.599999999999994</v>
      </c>
      <c r="D30">
        <v>4.7</v>
      </c>
      <c r="E30" t="s">
        <v>40</v>
      </c>
    </row>
    <row r="31" spans="1:5" hidden="1" x14ac:dyDescent="0.25">
      <c r="A31" s="2">
        <v>46313</v>
      </c>
      <c r="B31" t="s">
        <v>44</v>
      </c>
      <c r="C31">
        <v>65.2</v>
      </c>
      <c r="D31">
        <v>12.1</v>
      </c>
      <c r="E31" t="s">
        <v>40</v>
      </c>
    </row>
    <row r="32" spans="1:5" x14ac:dyDescent="0.25">
      <c r="A32" s="2">
        <v>46314</v>
      </c>
      <c r="B32" t="s">
        <v>39</v>
      </c>
      <c r="C32">
        <v>118.9</v>
      </c>
      <c r="D32">
        <v>14.4</v>
      </c>
      <c r="E32" t="s">
        <v>40</v>
      </c>
    </row>
    <row r="33" spans="1:5" hidden="1" x14ac:dyDescent="0.25">
      <c r="A33" s="2">
        <v>46314</v>
      </c>
      <c r="B33" t="s">
        <v>41</v>
      </c>
      <c r="C33">
        <v>98.3</v>
      </c>
      <c r="D33">
        <v>12.4</v>
      </c>
      <c r="E33" t="s">
        <v>40</v>
      </c>
    </row>
    <row r="34" spans="1:5" hidden="1" x14ac:dyDescent="0.25">
      <c r="A34" s="2">
        <v>46314</v>
      </c>
      <c r="B34" t="s">
        <v>42</v>
      </c>
      <c r="C34">
        <v>90.5</v>
      </c>
      <c r="D34">
        <v>2.2999999999999998</v>
      </c>
      <c r="E34" t="s">
        <v>40</v>
      </c>
    </row>
    <row r="35" spans="1:5" hidden="1" x14ac:dyDescent="0.25">
      <c r="A35" s="2">
        <v>46314</v>
      </c>
      <c r="B35" t="s">
        <v>43</v>
      </c>
      <c r="C35">
        <v>69</v>
      </c>
      <c r="D35">
        <v>11.4</v>
      </c>
      <c r="E35" t="s">
        <v>40</v>
      </c>
    </row>
    <row r="36" spans="1:5" hidden="1" x14ac:dyDescent="0.25">
      <c r="A36" s="2">
        <v>46314</v>
      </c>
      <c r="B36" t="s">
        <v>44</v>
      </c>
      <c r="C36">
        <v>60.9</v>
      </c>
      <c r="D36">
        <v>5.6</v>
      </c>
      <c r="E36" t="s">
        <v>40</v>
      </c>
    </row>
    <row r="37" spans="1:5" x14ac:dyDescent="0.25">
      <c r="A37" s="2">
        <v>46315</v>
      </c>
      <c r="B37" t="s">
        <v>39</v>
      </c>
      <c r="C37">
        <v>111.4</v>
      </c>
      <c r="D37">
        <v>2.2000000000000002</v>
      </c>
      <c r="E37" t="s">
        <v>40</v>
      </c>
    </row>
    <row r="38" spans="1:5" hidden="1" x14ac:dyDescent="0.25">
      <c r="A38" s="2">
        <v>46315</v>
      </c>
      <c r="B38" t="s">
        <v>41</v>
      </c>
      <c r="C38">
        <v>100</v>
      </c>
      <c r="D38">
        <v>12.1</v>
      </c>
      <c r="E38" t="s">
        <v>40</v>
      </c>
    </row>
    <row r="39" spans="1:5" hidden="1" x14ac:dyDescent="0.25">
      <c r="A39" s="2">
        <v>46315</v>
      </c>
      <c r="B39" t="s">
        <v>42</v>
      </c>
      <c r="C39">
        <v>74</v>
      </c>
      <c r="D39">
        <v>3.4</v>
      </c>
      <c r="E39" t="s">
        <v>40</v>
      </c>
    </row>
    <row r="40" spans="1:5" hidden="1" x14ac:dyDescent="0.25">
      <c r="A40" s="2">
        <v>46315</v>
      </c>
      <c r="B40" t="s">
        <v>43</v>
      </c>
      <c r="C40">
        <v>72.400000000000006</v>
      </c>
      <c r="D40">
        <v>2.6</v>
      </c>
      <c r="E40" t="s">
        <v>40</v>
      </c>
    </row>
    <row r="41" spans="1:5" hidden="1" x14ac:dyDescent="0.25">
      <c r="A41" s="2">
        <v>46315</v>
      </c>
      <c r="B41" t="s">
        <v>44</v>
      </c>
      <c r="C41">
        <v>53.7</v>
      </c>
      <c r="D41">
        <v>10.199999999999999</v>
      </c>
      <c r="E41" t="s">
        <v>40</v>
      </c>
    </row>
    <row r="42" spans="1:5" x14ac:dyDescent="0.25">
      <c r="A42" s="2">
        <v>46316</v>
      </c>
      <c r="B42" t="s">
        <v>39</v>
      </c>
      <c r="C42">
        <v>132.4</v>
      </c>
      <c r="D42">
        <v>5.9</v>
      </c>
      <c r="E42" t="s">
        <v>40</v>
      </c>
    </row>
    <row r="43" spans="1:5" hidden="1" x14ac:dyDescent="0.25">
      <c r="A43" s="2">
        <v>46316</v>
      </c>
      <c r="B43" t="s">
        <v>41</v>
      </c>
      <c r="C43">
        <v>91.4</v>
      </c>
      <c r="D43">
        <v>3.4</v>
      </c>
      <c r="E43" t="s">
        <v>40</v>
      </c>
    </row>
    <row r="44" spans="1:5" hidden="1" x14ac:dyDescent="0.25">
      <c r="A44" s="2">
        <v>46316</v>
      </c>
      <c r="B44" t="s">
        <v>42</v>
      </c>
      <c r="C44">
        <v>79.2</v>
      </c>
      <c r="D44">
        <v>5.5</v>
      </c>
      <c r="E44" t="s">
        <v>40</v>
      </c>
    </row>
    <row r="45" spans="1:5" hidden="1" x14ac:dyDescent="0.25">
      <c r="A45" s="2">
        <v>46316</v>
      </c>
      <c r="B45" t="s">
        <v>43</v>
      </c>
      <c r="C45">
        <v>60</v>
      </c>
      <c r="D45">
        <v>5.8</v>
      </c>
      <c r="E45" t="s">
        <v>40</v>
      </c>
    </row>
    <row r="46" spans="1:5" hidden="1" x14ac:dyDescent="0.25">
      <c r="A46" s="2">
        <v>46316</v>
      </c>
      <c r="B46" t="s">
        <v>44</v>
      </c>
      <c r="C46">
        <v>53.6</v>
      </c>
      <c r="D46">
        <v>4.2</v>
      </c>
      <c r="E46" t="s">
        <v>40</v>
      </c>
    </row>
    <row r="47" spans="1:5" x14ac:dyDescent="0.25">
      <c r="A47" s="2">
        <v>46317</v>
      </c>
      <c r="B47" t="s">
        <v>39</v>
      </c>
      <c r="C47">
        <v>129.9</v>
      </c>
      <c r="D47">
        <v>7.7</v>
      </c>
      <c r="E47" t="s">
        <v>40</v>
      </c>
    </row>
    <row r="48" spans="1:5" hidden="1" x14ac:dyDescent="0.25">
      <c r="A48" s="2">
        <v>46317</v>
      </c>
      <c r="B48" t="s">
        <v>41</v>
      </c>
      <c r="C48">
        <v>91</v>
      </c>
      <c r="D48">
        <v>12.4</v>
      </c>
      <c r="E48" t="s">
        <v>40</v>
      </c>
    </row>
    <row r="49" spans="1:5" hidden="1" x14ac:dyDescent="0.25">
      <c r="A49" s="2">
        <v>46317</v>
      </c>
      <c r="B49" t="s">
        <v>42</v>
      </c>
      <c r="C49">
        <v>70.3</v>
      </c>
      <c r="D49">
        <v>11.3</v>
      </c>
      <c r="E49" t="s">
        <v>40</v>
      </c>
    </row>
    <row r="50" spans="1:5" hidden="1" x14ac:dyDescent="0.25">
      <c r="A50" s="2">
        <v>46317</v>
      </c>
      <c r="B50" t="s">
        <v>43</v>
      </c>
      <c r="C50">
        <v>60.4</v>
      </c>
      <c r="D50">
        <v>5.8</v>
      </c>
      <c r="E50" t="s">
        <v>40</v>
      </c>
    </row>
    <row r="51" spans="1:5" hidden="1" x14ac:dyDescent="0.25">
      <c r="A51" s="2">
        <v>46317</v>
      </c>
      <c r="B51" t="s">
        <v>44</v>
      </c>
      <c r="C51">
        <v>67.900000000000006</v>
      </c>
      <c r="D51">
        <v>10.5</v>
      </c>
      <c r="E51" t="s">
        <v>40</v>
      </c>
    </row>
    <row r="52" spans="1:5" x14ac:dyDescent="0.25">
      <c r="A52" s="2">
        <v>46318</v>
      </c>
      <c r="B52" t="s">
        <v>39</v>
      </c>
      <c r="C52">
        <v>112.5</v>
      </c>
      <c r="D52">
        <v>3.8</v>
      </c>
      <c r="E52" t="s">
        <v>40</v>
      </c>
    </row>
    <row r="53" spans="1:5" hidden="1" x14ac:dyDescent="0.25">
      <c r="A53" s="2">
        <v>46318</v>
      </c>
      <c r="B53" t="s">
        <v>41</v>
      </c>
      <c r="C53">
        <v>102</v>
      </c>
      <c r="D53">
        <v>9.6999999999999993</v>
      </c>
      <c r="E53" t="s">
        <v>40</v>
      </c>
    </row>
    <row r="54" spans="1:5" hidden="1" x14ac:dyDescent="0.25">
      <c r="A54" s="2">
        <v>46318</v>
      </c>
      <c r="B54" t="s">
        <v>42</v>
      </c>
      <c r="C54">
        <v>75.7</v>
      </c>
      <c r="D54">
        <v>2.6</v>
      </c>
      <c r="E54" t="s">
        <v>40</v>
      </c>
    </row>
    <row r="55" spans="1:5" hidden="1" x14ac:dyDescent="0.25">
      <c r="A55" s="2">
        <v>46318</v>
      </c>
      <c r="B55" t="s">
        <v>43</v>
      </c>
      <c r="C55">
        <v>73.900000000000006</v>
      </c>
      <c r="D55">
        <v>12</v>
      </c>
      <c r="E55" t="s">
        <v>40</v>
      </c>
    </row>
    <row r="56" spans="1:5" hidden="1" x14ac:dyDescent="0.25">
      <c r="A56" s="2">
        <v>46318</v>
      </c>
      <c r="B56" t="s">
        <v>44</v>
      </c>
      <c r="C56">
        <v>62.5</v>
      </c>
      <c r="D56">
        <v>11.5</v>
      </c>
      <c r="E56" t="s">
        <v>40</v>
      </c>
    </row>
    <row r="57" spans="1:5" x14ac:dyDescent="0.25">
      <c r="A57" s="2">
        <v>46319</v>
      </c>
      <c r="B57" t="s">
        <v>39</v>
      </c>
      <c r="C57">
        <v>132.69999999999999</v>
      </c>
      <c r="D57">
        <v>5.9</v>
      </c>
      <c r="E57" t="s">
        <v>40</v>
      </c>
    </row>
    <row r="58" spans="1:5" hidden="1" x14ac:dyDescent="0.25">
      <c r="A58" s="2">
        <v>46319</v>
      </c>
      <c r="B58" t="s">
        <v>41</v>
      </c>
      <c r="C58">
        <v>88.1</v>
      </c>
      <c r="D58">
        <v>2.5</v>
      </c>
      <c r="E58" t="s">
        <v>40</v>
      </c>
    </row>
    <row r="59" spans="1:5" hidden="1" x14ac:dyDescent="0.25">
      <c r="A59" s="2">
        <v>46319</v>
      </c>
      <c r="B59" t="s">
        <v>42</v>
      </c>
      <c r="C59">
        <v>86.7</v>
      </c>
      <c r="D59">
        <v>2.7</v>
      </c>
      <c r="E59" t="s">
        <v>40</v>
      </c>
    </row>
    <row r="60" spans="1:5" hidden="1" x14ac:dyDescent="0.25">
      <c r="A60" s="2">
        <v>46319</v>
      </c>
      <c r="B60" t="s">
        <v>43</v>
      </c>
      <c r="C60">
        <v>80.2</v>
      </c>
      <c r="D60">
        <v>12.6</v>
      </c>
      <c r="E60" t="s">
        <v>40</v>
      </c>
    </row>
    <row r="61" spans="1:5" hidden="1" x14ac:dyDescent="0.25">
      <c r="A61" s="2">
        <v>46319</v>
      </c>
      <c r="B61" t="s">
        <v>44</v>
      </c>
      <c r="C61">
        <v>54.8</v>
      </c>
      <c r="D61">
        <v>12.3</v>
      </c>
      <c r="E61" t="s">
        <v>40</v>
      </c>
    </row>
    <row r="62" spans="1:5" x14ac:dyDescent="0.25">
      <c r="A62" s="2">
        <v>46320</v>
      </c>
      <c r="B62" t="s">
        <v>39</v>
      </c>
      <c r="C62">
        <v>128.4</v>
      </c>
      <c r="D62">
        <v>2.6</v>
      </c>
      <c r="E62" t="s">
        <v>40</v>
      </c>
    </row>
    <row r="63" spans="1:5" hidden="1" x14ac:dyDescent="0.25">
      <c r="A63" s="2">
        <v>46320</v>
      </c>
      <c r="B63" t="s">
        <v>41</v>
      </c>
      <c r="C63">
        <v>105.8</v>
      </c>
      <c r="D63">
        <v>7.4</v>
      </c>
      <c r="E63" t="s">
        <v>40</v>
      </c>
    </row>
    <row r="64" spans="1:5" hidden="1" x14ac:dyDescent="0.25">
      <c r="A64" s="2">
        <v>46320</v>
      </c>
      <c r="B64" t="s">
        <v>42</v>
      </c>
      <c r="C64">
        <v>90.7</v>
      </c>
      <c r="D64">
        <v>14.3</v>
      </c>
      <c r="E64" t="s">
        <v>40</v>
      </c>
    </row>
    <row r="65" spans="1:5" hidden="1" x14ac:dyDescent="0.25">
      <c r="A65" s="2">
        <v>46320</v>
      </c>
      <c r="B65" t="s">
        <v>43</v>
      </c>
      <c r="C65">
        <v>72.599999999999994</v>
      </c>
      <c r="D65">
        <v>7.7</v>
      </c>
      <c r="E65" t="s">
        <v>40</v>
      </c>
    </row>
    <row r="66" spans="1:5" hidden="1" x14ac:dyDescent="0.25">
      <c r="A66" s="2">
        <v>46320</v>
      </c>
      <c r="B66" t="s">
        <v>44</v>
      </c>
      <c r="C66">
        <v>66.7</v>
      </c>
      <c r="D66">
        <v>11.6</v>
      </c>
      <c r="E66" t="s">
        <v>40</v>
      </c>
    </row>
    <row r="67" spans="1:5" x14ac:dyDescent="0.25">
      <c r="A67" s="2">
        <v>46321</v>
      </c>
      <c r="B67" t="s">
        <v>39</v>
      </c>
      <c r="C67">
        <v>107.9</v>
      </c>
      <c r="D67">
        <v>6.2</v>
      </c>
      <c r="E67" t="s">
        <v>40</v>
      </c>
    </row>
    <row r="68" spans="1:5" hidden="1" x14ac:dyDescent="0.25">
      <c r="A68" s="2">
        <v>46321</v>
      </c>
      <c r="B68" t="s">
        <v>41</v>
      </c>
      <c r="C68">
        <v>85.2</v>
      </c>
      <c r="D68">
        <v>7.9</v>
      </c>
      <c r="E68" t="s">
        <v>40</v>
      </c>
    </row>
    <row r="69" spans="1:5" hidden="1" x14ac:dyDescent="0.25">
      <c r="A69" s="2">
        <v>46321</v>
      </c>
      <c r="B69" t="s">
        <v>42</v>
      </c>
      <c r="C69">
        <v>72.7</v>
      </c>
      <c r="D69">
        <v>15.8</v>
      </c>
      <c r="E69" t="s">
        <v>40</v>
      </c>
    </row>
    <row r="70" spans="1:5" hidden="1" x14ac:dyDescent="0.25">
      <c r="A70" s="2">
        <v>46321</v>
      </c>
      <c r="B70" t="s">
        <v>43</v>
      </c>
      <c r="C70">
        <v>65.8</v>
      </c>
      <c r="D70">
        <v>13.3</v>
      </c>
      <c r="E70" t="s">
        <v>40</v>
      </c>
    </row>
    <row r="71" spans="1:5" hidden="1" x14ac:dyDescent="0.25">
      <c r="A71" s="2">
        <v>46321</v>
      </c>
      <c r="B71" t="s">
        <v>44</v>
      </c>
      <c r="C71">
        <v>51.9</v>
      </c>
      <c r="D71">
        <v>14.6</v>
      </c>
      <c r="E71" t="s">
        <v>40</v>
      </c>
    </row>
    <row r="72" spans="1:5" x14ac:dyDescent="0.25">
      <c r="A72" s="2">
        <v>46322</v>
      </c>
      <c r="B72" t="s">
        <v>39</v>
      </c>
      <c r="C72">
        <v>111.7</v>
      </c>
      <c r="D72">
        <v>10.6</v>
      </c>
      <c r="E72" t="s">
        <v>45</v>
      </c>
    </row>
    <row r="73" spans="1:5" hidden="1" x14ac:dyDescent="0.25">
      <c r="A73" s="2">
        <v>46322</v>
      </c>
      <c r="B73" t="s">
        <v>41</v>
      </c>
      <c r="C73">
        <v>96.9</v>
      </c>
      <c r="D73">
        <v>12.6</v>
      </c>
      <c r="E73" t="s">
        <v>45</v>
      </c>
    </row>
    <row r="74" spans="1:5" hidden="1" x14ac:dyDescent="0.25">
      <c r="A74" s="2">
        <v>46322</v>
      </c>
      <c r="B74" t="s">
        <v>42</v>
      </c>
      <c r="C74">
        <v>71.2</v>
      </c>
      <c r="D74">
        <v>13.5</v>
      </c>
      <c r="E74" t="s">
        <v>45</v>
      </c>
    </row>
    <row r="75" spans="1:5" hidden="1" x14ac:dyDescent="0.25">
      <c r="A75" s="2">
        <v>46322</v>
      </c>
      <c r="B75" t="s">
        <v>43</v>
      </c>
      <c r="C75">
        <v>77.599999999999994</v>
      </c>
      <c r="D75">
        <v>6.4</v>
      </c>
      <c r="E75" t="s">
        <v>45</v>
      </c>
    </row>
    <row r="76" spans="1:5" hidden="1" x14ac:dyDescent="0.25">
      <c r="A76" s="2">
        <v>46322</v>
      </c>
      <c r="B76" t="s">
        <v>44</v>
      </c>
      <c r="C76">
        <v>68.400000000000006</v>
      </c>
      <c r="D76">
        <v>11.8</v>
      </c>
      <c r="E76" t="s">
        <v>45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abSelected="1" workbookViewId="0"/>
  </sheetViews>
  <sheetFormatPr baseColWidth="10" defaultColWidth="9.140625" defaultRowHeight="15" x14ac:dyDescent="0.25"/>
  <cols>
    <col min="1" max="1" width="63.42578125" bestFit="1" customWidth="1"/>
    <col min="2" max="2" width="23.85546875" bestFit="1" customWidth="1"/>
    <col min="3" max="3" width="9.140625" bestFit="1" customWidth="1"/>
    <col min="4" max="4" width="21.5703125" bestFit="1" customWidth="1"/>
    <col min="5" max="6" width="9.140625" bestFit="1" customWidth="1"/>
    <col min="7" max="7" width="12.85546875" bestFit="1" customWidth="1"/>
    <col min="8" max="8" width="5.42578125" bestFit="1" customWidth="1"/>
  </cols>
  <sheetData>
    <row r="1" spans="1:8" ht="18.75" x14ac:dyDescent="0.3">
      <c r="A1" s="3" t="s">
        <v>46</v>
      </c>
    </row>
    <row r="2" spans="1:8" x14ac:dyDescent="0.25">
      <c r="A2" s="4" t="s">
        <v>47</v>
      </c>
      <c r="B2" s="5">
        <f>SUM(tblDonnees[Volume_GWh])</f>
        <v>6330.699999999998</v>
      </c>
      <c r="D2" s="4" t="s">
        <v>48</v>
      </c>
      <c r="E2" s="5">
        <f>SUM(tblDonnees[Volume_GWh])/SUMPRODUCT(1/COUNTIF(tblDonnees[Date],tblDonnees[Date]))</f>
        <v>422.04666666666714</v>
      </c>
      <c r="G2" s="4" t="s">
        <v>49</v>
      </c>
      <c r="H2" t="str">
        <f>INDEX(tblDonnees[Region],MATCH(MAX(tblDonnees[Volume_GWh]),tblDonnees[Volume_GWh],0))</f>
        <v>Nord</v>
      </c>
    </row>
    <row r="5" spans="1:8" x14ac:dyDescent="0.25">
      <c r="A5" s="7" t="s">
        <v>60</v>
      </c>
      <c r="B5" s="7" t="s">
        <v>59</v>
      </c>
    </row>
    <row r="6" spans="1:8" x14ac:dyDescent="0.25">
      <c r="A6" s="7" t="s">
        <v>57</v>
      </c>
      <c r="B6" t="s">
        <v>44</v>
      </c>
      <c r="C6" t="s">
        <v>42</v>
      </c>
      <c r="D6" t="s">
        <v>39</v>
      </c>
      <c r="E6" t="s">
        <v>43</v>
      </c>
      <c r="F6" t="s">
        <v>41</v>
      </c>
      <c r="G6" t="s">
        <v>58</v>
      </c>
    </row>
    <row r="7" spans="1:8" x14ac:dyDescent="0.25">
      <c r="A7" s="8">
        <v>46308</v>
      </c>
      <c r="B7" s="9">
        <v>64.8</v>
      </c>
      <c r="C7" s="9">
        <v>73.900000000000006</v>
      </c>
      <c r="D7" s="9">
        <v>113.9</v>
      </c>
      <c r="E7" s="9">
        <v>76.400000000000006</v>
      </c>
      <c r="F7" s="9">
        <v>99.1</v>
      </c>
      <c r="G7" s="9">
        <v>428.1</v>
      </c>
    </row>
    <row r="8" spans="1:8" x14ac:dyDescent="0.25">
      <c r="A8" s="8">
        <v>46309</v>
      </c>
      <c r="B8" s="9">
        <v>56.9</v>
      </c>
      <c r="C8" s="9">
        <v>76.2</v>
      </c>
      <c r="D8" s="9">
        <v>117.9</v>
      </c>
      <c r="E8" s="9">
        <v>72.900000000000006</v>
      </c>
      <c r="F8" s="9">
        <v>87.6</v>
      </c>
      <c r="G8" s="9">
        <v>411.5</v>
      </c>
    </row>
    <row r="9" spans="1:8" x14ac:dyDescent="0.25">
      <c r="A9" s="8">
        <v>46310</v>
      </c>
      <c r="B9" s="9">
        <v>58.3</v>
      </c>
      <c r="C9" s="9">
        <v>79.8</v>
      </c>
      <c r="D9" s="9">
        <v>116.1</v>
      </c>
      <c r="E9" s="9">
        <v>63</v>
      </c>
      <c r="F9" s="9">
        <v>101</v>
      </c>
      <c r="G9" s="9">
        <v>418.2</v>
      </c>
    </row>
    <row r="10" spans="1:8" x14ac:dyDescent="0.25">
      <c r="A10" s="8">
        <v>46311</v>
      </c>
      <c r="B10" s="9">
        <v>59.1</v>
      </c>
      <c r="C10" s="9">
        <v>69.8</v>
      </c>
      <c r="D10" s="9">
        <v>114.6</v>
      </c>
      <c r="E10" s="9">
        <v>60.4</v>
      </c>
      <c r="F10" s="9">
        <v>96.9</v>
      </c>
      <c r="G10" s="9">
        <v>400.79999999999995</v>
      </c>
    </row>
    <row r="11" spans="1:8" x14ac:dyDescent="0.25">
      <c r="A11" s="8">
        <v>46312</v>
      </c>
      <c r="B11" s="9">
        <v>64.599999999999994</v>
      </c>
      <c r="C11" s="9">
        <v>90.8</v>
      </c>
      <c r="D11" s="9">
        <v>128.9</v>
      </c>
      <c r="E11" s="9">
        <v>69.7</v>
      </c>
      <c r="F11" s="9">
        <v>86.2</v>
      </c>
      <c r="G11" s="9">
        <v>440.19999999999993</v>
      </c>
    </row>
    <row r="12" spans="1:8" x14ac:dyDescent="0.25">
      <c r="A12" s="8">
        <v>46313</v>
      </c>
      <c r="B12" s="9">
        <v>65.2</v>
      </c>
      <c r="C12" s="9">
        <v>69.2</v>
      </c>
      <c r="D12" s="9">
        <v>114.8</v>
      </c>
      <c r="E12" s="9">
        <v>68.599999999999994</v>
      </c>
      <c r="F12" s="9">
        <v>86.3</v>
      </c>
      <c r="G12" s="9">
        <v>404.09999999999997</v>
      </c>
    </row>
    <row r="13" spans="1:8" x14ac:dyDescent="0.25">
      <c r="A13" s="8">
        <v>46314</v>
      </c>
      <c r="B13" s="9">
        <v>60.9</v>
      </c>
      <c r="C13" s="9">
        <v>90.5</v>
      </c>
      <c r="D13" s="9">
        <v>118.9</v>
      </c>
      <c r="E13" s="9">
        <v>69</v>
      </c>
      <c r="F13" s="9">
        <v>98.3</v>
      </c>
      <c r="G13" s="9">
        <v>437.6</v>
      </c>
    </row>
    <row r="14" spans="1:8" x14ac:dyDescent="0.25">
      <c r="A14" s="8">
        <v>46315</v>
      </c>
      <c r="B14" s="9">
        <v>53.7</v>
      </c>
      <c r="C14" s="9">
        <v>74</v>
      </c>
      <c r="D14" s="9">
        <v>111.4</v>
      </c>
      <c r="E14" s="9">
        <v>72.400000000000006</v>
      </c>
      <c r="F14" s="9">
        <v>100</v>
      </c>
      <c r="G14" s="9">
        <v>411.5</v>
      </c>
    </row>
    <row r="15" spans="1:8" x14ac:dyDescent="0.25">
      <c r="A15" s="8">
        <v>46316</v>
      </c>
      <c r="B15" s="9">
        <v>53.6</v>
      </c>
      <c r="C15" s="9">
        <v>79.2</v>
      </c>
      <c r="D15" s="9">
        <v>132.4</v>
      </c>
      <c r="E15" s="9">
        <v>60</v>
      </c>
      <c r="F15" s="9">
        <v>91.4</v>
      </c>
      <c r="G15" s="9">
        <v>416.6</v>
      </c>
    </row>
    <row r="16" spans="1:8" x14ac:dyDescent="0.25">
      <c r="A16" s="8">
        <v>46317</v>
      </c>
      <c r="B16" s="9">
        <v>67.900000000000006</v>
      </c>
      <c r="C16" s="9">
        <v>70.3</v>
      </c>
      <c r="D16" s="9">
        <v>129.9</v>
      </c>
      <c r="E16" s="9">
        <v>60.4</v>
      </c>
      <c r="F16" s="9">
        <v>91</v>
      </c>
      <c r="G16" s="9">
        <v>419.5</v>
      </c>
    </row>
    <row r="17" spans="1:7" x14ac:dyDescent="0.25">
      <c r="A17" s="8">
        <v>46318</v>
      </c>
      <c r="B17" s="9">
        <v>62.5</v>
      </c>
      <c r="C17" s="9">
        <v>75.7</v>
      </c>
      <c r="D17" s="9">
        <v>112.5</v>
      </c>
      <c r="E17" s="9">
        <v>73.900000000000006</v>
      </c>
      <c r="F17" s="9">
        <v>102</v>
      </c>
      <c r="G17" s="9">
        <v>426.6</v>
      </c>
    </row>
    <row r="18" spans="1:7" x14ac:dyDescent="0.25">
      <c r="A18" s="8">
        <v>46319</v>
      </c>
      <c r="B18" s="9">
        <v>54.8</v>
      </c>
      <c r="C18" s="9">
        <v>86.7</v>
      </c>
      <c r="D18" s="9">
        <v>132.69999999999999</v>
      </c>
      <c r="E18" s="9">
        <v>80.2</v>
      </c>
      <c r="F18" s="9">
        <v>88.1</v>
      </c>
      <c r="G18" s="9">
        <v>442.5</v>
      </c>
    </row>
    <row r="19" spans="1:7" x14ac:dyDescent="0.25">
      <c r="A19" s="8">
        <v>46320</v>
      </c>
      <c r="B19" s="9">
        <v>66.7</v>
      </c>
      <c r="C19" s="9">
        <v>90.7</v>
      </c>
      <c r="D19" s="9">
        <v>128.4</v>
      </c>
      <c r="E19" s="9">
        <v>72.599999999999994</v>
      </c>
      <c r="F19" s="9">
        <v>105.8</v>
      </c>
      <c r="G19" s="9">
        <v>464.2</v>
      </c>
    </row>
    <row r="20" spans="1:7" x14ac:dyDescent="0.25">
      <c r="A20" s="8">
        <v>46321</v>
      </c>
      <c r="B20" s="9">
        <v>51.9</v>
      </c>
      <c r="C20" s="9">
        <v>72.7</v>
      </c>
      <c r="D20" s="9">
        <v>107.9</v>
      </c>
      <c r="E20" s="9">
        <v>65.8</v>
      </c>
      <c r="F20" s="9">
        <v>85.2</v>
      </c>
      <c r="G20" s="9">
        <v>383.5</v>
      </c>
    </row>
    <row r="21" spans="1:7" x14ac:dyDescent="0.25">
      <c r="A21" s="8">
        <v>46322</v>
      </c>
      <c r="B21" s="9">
        <v>68.400000000000006</v>
      </c>
      <c r="C21" s="9">
        <v>71.2</v>
      </c>
      <c r="D21" s="9">
        <v>111.7</v>
      </c>
      <c r="E21" s="9">
        <v>77.599999999999994</v>
      </c>
      <c r="F21" s="9">
        <v>96.9</v>
      </c>
      <c r="G21" s="9">
        <v>425.79999999999995</v>
      </c>
    </row>
    <row r="22" spans="1:7" x14ac:dyDescent="0.25">
      <c r="A22" s="8" t="s">
        <v>58</v>
      </c>
      <c r="B22" s="9">
        <v>909.29999999999984</v>
      </c>
      <c r="C22" s="9">
        <v>1170.7000000000003</v>
      </c>
      <c r="D22" s="9">
        <v>1792.0000000000002</v>
      </c>
      <c r="E22" s="9">
        <v>1042.8999999999999</v>
      </c>
      <c r="F22" s="9">
        <v>1415.8</v>
      </c>
      <c r="G22" s="9">
        <v>6330.7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s="6">
        <v>46322.01116471766</v>
      </c>
      <c r="B2" t="s">
        <v>53</v>
      </c>
      <c r="C2" t="s">
        <v>54</v>
      </c>
    </row>
    <row r="3" spans="1:3" x14ac:dyDescent="0.25">
      <c r="A3" s="6">
        <v>46322.011164725707</v>
      </c>
      <c r="B3" t="s">
        <v>53</v>
      </c>
      <c r="C3" t="s">
        <v>55</v>
      </c>
    </row>
    <row r="4" spans="1:3" x14ac:dyDescent="0.25">
      <c r="A4" s="6">
        <v>46322.011164729593</v>
      </c>
      <c r="B4" t="s">
        <v>53</v>
      </c>
      <c r="C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MVS_Base</vt:lpstr>
      <vt:lpstr>Feuille2</vt:lpstr>
      <vt:lpstr>Feuille1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 Davoust</cp:lastModifiedBy>
  <dcterms:created xsi:type="dcterms:W3CDTF">2026-10-26T21:03:02Z</dcterms:created>
  <dcterms:modified xsi:type="dcterms:W3CDTF">2026-10-26T23:16:05Z</dcterms:modified>
</cp:coreProperties>
</file>